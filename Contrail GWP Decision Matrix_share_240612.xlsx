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ainesystem-my.sharepoint.com/personal/reed_miller_maine_edu/Documents/Research/SWA YCELP/Case study/"/>
    </mc:Choice>
  </mc:AlternateContent>
  <xr:revisionPtr revIDLastSave="79" documentId="8_{DF05C2EF-CDFC-444E-BB2A-3C8078289993}" xr6:coauthVersionLast="47" xr6:coauthVersionMax="47" xr10:uidLastSave="{5CD02C98-BF31-40F6-8D8D-B15D8FDABDAC}"/>
  <bookViews>
    <workbookView xWindow="-12660" yWindow="12948" windowWidth="23256" windowHeight="12456" tabRatio="746" xr2:uid="{A9E4EF64-F499-46CC-8151-3355CA18F3E1}"/>
  </bookViews>
  <sheets>
    <sheet name="Intro" sheetId="13" r:id="rId1"/>
    <sheet name="GWP Decision Matrix" sheetId="12" r:id="rId2"/>
    <sheet name="Background Data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2" l="1"/>
  <c r="K6" i="12" s="1"/>
  <c r="F111" i="9"/>
  <c r="F110" i="9"/>
  <c r="F109" i="9"/>
  <c r="D32" i="12"/>
  <c r="D31" i="12"/>
  <c r="D30" i="12"/>
  <c r="D29" i="12"/>
  <c r="D28" i="12"/>
  <c r="D27" i="12"/>
  <c r="D26" i="12"/>
  <c r="D25" i="12"/>
  <c r="D23" i="12"/>
  <c r="D24" i="12" s="1"/>
  <c r="D22" i="12"/>
  <c r="D21" i="12"/>
  <c r="D20" i="12"/>
  <c r="D19" i="12"/>
  <c r="D18" i="12"/>
  <c r="D17" i="12"/>
  <c r="D16" i="12"/>
  <c r="D15" i="12"/>
  <c r="D14" i="12"/>
  <c r="D13" i="12"/>
  <c r="D12" i="12"/>
  <c r="D11" i="12"/>
  <c r="F8" i="12"/>
  <c r="H6" i="12"/>
  <c r="I4" i="12"/>
  <c r="I6" i="12" s="1"/>
  <c r="O34" i="12" l="1"/>
  <c r="J34" i="12"/>
  <c r="I34" i="12"/>
  <c r="H34" i="12"/>
  <c r="N34" i="12"/>
  <c r="M34" i="12"/>
  <c r="L34" i="12"/>
  <c r="K34" i="12"/>
  <c r="G34" i="12"/>
  <c r="F34" i="12"/>
  <c r="D105" i="9"/>
  <c r="M6" i="12" s="1"/>
  <c r="E14" i="12" l="1"/>
  <c r="E13" i="12"/>
  <c r="E26" i="12"/>
  <c r="E21" i="12"/>
  <c r="E25" i="12"/>
  <c r="E16" i="12"/>
  <c r="E22" i="12"/>
  <c r="E29" i="12"/>
  <c r="E11" i="12"/>
  <c r="E27" i="12"/>
  <c r="E28" i="12"/>
  <c r="E18" i="12"/>
  <c r="E20" i="12"/>
  <c r="E19" i="12"/>
  <c r="E32" i="12"/>
  <c r="E15" i="12"/>
  <c r="E24" i="12"/>
  <c r="E23" i="12"/>
  <c r="E17" i="12"/>
  <c r="E30" i="12"/>
  <c r="E31" i="12"/>
  <c r="E12" i="12"/>
  <c r="D69" i="9"/>
  <c r="C69" i="9"/>
  <c r="C62" i="9"/>
  <c r="O60" i="9" s="1" a="1"/>
  <c r="F43" i="9"/>
  <c r="D68" i="9" s="1"/>
  <c r="C43" i="9"/>
  <c r="C68" i="9" s="1"/>
  <c r="D43" i="9"/>
  <c r="E43" i="9"/>
  <c r="C47" i="9"/>
  <c r="S60" i="9" l="1"/>
  <c r="T60" i="9"/>
  <c r="O61" i="9"/>
  <c r="P61" i="9"/>
  <c r="Q61" i="9"/>
  <c r="S62" i="9"/>
  <c r="Q63" i="9"/>
  <c r="O60" i="9"/>
  <c r="R63" i="9"/>
  <c r="P60" i="9"/>
  <c r="S63" i="9"/>
  <c r="Q60" i="9"/>
  <c r="T63" i="9"/>
  <c r="R60" i="9"/>
  <c r="R61" i="9"/>
  <c r="O62" i="9"/>
  <c r="P62" i="9"/>
  <c r="T62" i="9"/>
  <c r="S61" i="9"/>
  <c r="T61" i="9"/>
  <c r="Q62" i="9"/>
  <c r="O63" i="9"/>
  <c r="P63" i="9"/>
  <c r="R62" i="9"/>
  <c r="T64" i="9" l="1"/>
  <c r="S64" i="9"/>
  <c r="R64" i="9"/>
  <c r="P64" i="9"/>
  <c r="O64" i="9"/>
  <c r="C70" i="9" s="1"/>
  <c r="C71" i="9" s="1"/>
  <c r="J4" i="12" s="1"/>
  <c r="J6" i="12" s="1"/>
  <c r="Q64" i="9"/>
  <c r="D70" i="9" s="1"/>
  <c r="D71" i="9" s="1"/>
  <c r="N6" i="12" l="1"/>
  <c r="N33" i="12"/>
  <c r="H33" i="12"/>
  <c r="J33" i="12"/>
  <c r="G33" i="12"/>
  <c r="K33" i="12"/>
  <c r="I33" i="12"/>
  <c r="L33" i="12"/>
  <c r="M33" i="12"/>
  <c r="F33" i="12"/>
  <c r="O33" i="12"/>
  <c r="C49" i="9"/>
  <c r="I13" i="12" l="1"/>
  <c r="I27" i="12"/>
  <c r="I11" i="12"/>
  <c r="I19" i="12"/>
  <c r="I17" i="12"/>
  <c r="I22" i="12"/>
  <c r="I21" i="12"/>
  <c r="I25" i="12"/>
  <c r="I31" i="12"/>
  <c r="I24" i="12"/>
  <c r="I12" i="12"/>
  <c r="I14" i="12"/>
  <c r="I16" i="12"/>
  <c r="I26" i="12"/>
  <c r="I18" i="12"/>
  <c r="I20" i="12"/>
  <c r="I28" i="12"/>
  <c r="I23" i="12"/>
  <c r="I30" i="12"/>
  <c r="I29" i="12"/>
  <c r="I32" i="12"/>
  <c r="I15" i="12"/>
  <c r="K26" i="12"/>
  <c r="K20" i="12"/>
  <c r="K11" i="12"/>
  <c r="K18" i="12"/>
  <c r="K24" i="12"/>
  <c r="K21" i="12"/>
  <c r="K12" i="12"/>
  <c r="K22" i="12"/>
  <c r="K25" i="12"/>
  <c r="K13" i="12"/>
  <c r="K19" i="12"/>
  <c r="K31" i="12"/>
  <c r="K15" i="12"/>
  <c r="K16" i="12"/>
  <c r="K14" i="12"/>
  <c r="K17" i="12"/>
  <c r="K32" i="12"/>
  <c r="K30" i="12"/>
  <c r="K23" i="12"/>
  <c r="K29" i="12"/>
  <c r="K27" i="12"/>
  <c r="K28" i="12"/>
  <c r="G13" i="12"/>
  <c r="G25" i="12"/>
  <c r="G21" i="12"/>
  <c r="G28" i="12"/>
  <c r="G22" i="12"/>
  <c r="G27" i="12"/>
  <c r="G20" i="12"/>
  <c r="G14" i="12"/>
  <c r="G31" i="12"/>
  <c r="G12" i="12"/>
  <c r="G29" i="12"/>
  <c r="G11" i="12"/>
  <c r="G18" i="12"/>
  <c r="G23" i="12"/>
  <c r="G19" i="12"/>
  <c r="G32" i="12"/>
  <c r="G15" i="12"/>
  <c r="G24" i="12"/>
  <c r="G26" i="12"/>
  <c r="G16" i="12"/>
  <c r="G30" i="12"/>
  <c r="G17" i="12"/>
  <c r="J32" i="12"/>
  <c r="J31" i="12"/>
  <c r="J16" i="12"/>
  <c r="J18" i="12"/>
  <c r="J11" i="12"/>
  <c r="J25" i="12"/>
  <c r="J12" i="12"/>
  <c r="J14" i="12"/>
  <c r="J27" i="12"/>
  <c r="J17" i="12"/>
  <c r="J26" i="12"/>
  <c r="J13" i="12"/>
  <c r="J22" i="12"/>
  <c r="J15" i="12"/>
  <c r="J30" i="12"/>
  <c r="J23" i="12"/>
  <c r="J29" i="12"/>
  <c r="J21" i="12"/>
  <c r="J24" i="12"/>
  <c r="J19" i="12"/>
  <c r="J20" i="12"/>
  <c r="J28" i="12"/>
  <c r="H27" i="12"/>
  <c r="H25" i="12"/>
  <c r="H21" i="12"/>
  <c r="H18" i="12"/>
  <c r="H31" i="12"/>
  <c r="H28" i="12"/>
  <c r="H12" i="12"/>
  <c r="H16" i="12"/>
  <c r="H22" i="12"/>
  <c r="H13" i="12"/>
  <c r="H14" i="12"/>
  <c r="H26" i="12"/>
  <c r="H11" i="12"/>
  <c r="H32" i="12"/>
  <c r="H24" i="12"/>
  <c r="H20" i="12"/>
  <c r="H23" i="12"/>
  <c r="H19" i="12"/>
  <c r="H17" i="12"/>
  <c r="H15" i="12"/>
  <c r="H30" i="12"/>
  <c r="H29" i="12"/>
  <c r="F16" i="12"/>
  <c r="F12" i="12"/>
  <c r="F27" i="12"/>
  <c r="F31" i="12"/>
  <c r="F26" i="12"/>
  <c r="F22" i="12"/>
  <c r="F11" i="12"/>
  <c r="F18" i="12"/>
  <c r="F20" i="12"/>
  <c r="F13" i="12"/>
  <c r="F32" i="12"/>
  <c r="F14" i="12"/>
  <c r="F25" i="12"/>
  <c r="F23" i="12"/>
  <c r="F29" i="12"/>
  <c r="F17" i="12"/>
  <c r="F30" i="12"/>
  <c r="F24" i="12"/>
  <c r="F15" i="12"/>
  <c r="F28" i="12"/>
  <c r="F21" i="12"/>
  <c r="F19" i="12"/>
  <c r="M13" i="12"/>
  <c r="M12" i="12"/>
  <c r="M22" i="12"/>
  <c r="M16" i="12"/>
  <c r="M26" i="12"/>
  <c r="M11" i="12"/>
  <c r="M14" i="12"/>
  <c r="M21" i="12"/>
  <c r="M31" i="12"/>
  <c r="M15" i="12"/>
  <c r="M20" i="12"/>
  <c r="M29" i="12"/>
  <c r="M25" i="12"/>
  <c r="M30" i="12"/>
  <c r="M28" i="12"/>
  <c r="M17" i="12"/>
  <c r="M32" i="12"/>
  <c r="M19" i="12"/>
  <c r="M27" i="12"/>
  <c r="M23" i="12"/>
  <c r="M24" i="12"/>
  <c r="M18" i="12"/>
  <c r="N21" i="12"/>
  <c r="N27" i="12"/>
  <c r="N29" i="12"/>
  <c r="N22" i="12"/>
  <c r="N11" i="12"/>
  <c r="N31" i="12"/>
  <c r="N14" i="12"/>
  <c r="N32" i="12"/>
  <c r="N13" i="12"/>
  <c r="N19" i="12"/>
  <c r="N15" i="12"/>
  <c r="N25" i="12"/>
  <c r="N16" i="12"/>
  <c r="N12" i="12"/>
  <c r="N20" i="12"/>
  <c r="N26" i="12"/>
  <c r="N28" i="12"/>
  <c r="N30" i="12"/>
  <c r="N23" i="12"/>
  <c r="N18" i="12"/>
  <c r="N17" i="12"/>
  <c r="N24" i="12"/>
  <c r="O13" i="12"/>
  <c r="O12" i="12"/>
  <c r="O21" i="12"/>
  <c r="O26" i="12"/>
  <c r="O29" i="12"/>
  <c r="O11" i="12"/>
  <c r="O31" i="12"/>
  <c r="O15" i="12"/>
  <c r="O20" i="12"/>
  <c r="O32" i="12"/>
  <c r="O25" i="12"/>
  <c r="O22" i="12"/>
  <c r="O28" i="12"/>
  <c r="O17" i="12"/>
  <c r="O14" i="12"/>
  <c r="O19" i="12"/>
  <c r="O18" i="12"/>
  <c r="O27" i="12"/>
  <c r="O23" i="12"/>
  <c r="O24" i="12"/>
  <c r="O30" i="12"/>
  <c r="O16" i="12"/>
  <c r="L26" i="12"/>
  <c r="L22" i="12"/>
  <c r="L31" i="12"/>
  <c r="L11" i="12"/>
  <c r="L14" i="12"/>
  <c r="L28" i="12"/>
  <c r="L12" i="12"/>
  <c r="L21" i="12"/>
  <c r="L15" i="12"/>
  <c r="L13" i="12"/>
  <c r="L27" i="12"/>
  <c r="L29" i="12"/>
  <c r="L20" i="12"/>
  <c r="L24" i="12"/>
  <c r="L30" i="12"/>
  <c r="L23" i="12"/>
  <c r="L16" i="12"/>
  <c r="L18" i="12"/>
  <c r="L25" i="12"/>
  <c r="L19" i="12"/>
  <c r="L17" i="12"/>
  <c r="L32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Lee</author>
  </authors>
  <commentList>
    <comment ref="C60" authorId="0" shapeId="0" xr:uid="{4D866305-AF78-4270-AE9D-F07A02451124}">
      <text>
        <r>
          <rPr>
            <b/>
            <sz val="9"/>
            <color rgb="FF000000"/>
            <rFont val="Calibri"/>
            <family val="2"/>
          </rPr>
          <t>David Lee: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Implied from Bethan's summary and analysis. 15 from AEDT-SAGE, actual value from ICAO Env Report 2016 pgs.19&amp;20 </t>
        </r>
      </text>
    </comment>
    <comment ref="C61" authorId="0" shapeId="0" xr:uid="{75B02899-A769-4299-AF76-6EACAEDC00F5}">
      <text>
        <r>
          <rPr>
            <b/>
            <sz val="9"/>
            <color rgb="FF000000"/>
            <rFont val="Calibri"/>
            <family val="2"/>
          </rPr>
          <t>David Lee: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Used in ACCRI and from AEDT-SAGE guidance document
</t>
        </r>
      </text>
    </comment>
    <comment ref="C62" authorId="0" shapeId="0" xr:uid="{5CD42279-0A0C-47B8-AE0C-EADD43B3D491}">
      <text>
        <r>
          <rPr>
            <sz val="9"/>
            <color rgb="FF000000"/>
            <rFont val="Calibri"/>
            <family val="2"/>
          </rPr>
          <t>Based on an assumed FSC of 600 ppm from QinetiQ report to EASA</t>
        </r>
      </text>
    </comment>
  </commentList>
</comments>
</file>

<file path=xl/sharedStrings.xml><?xml version="1.0" encoding="utf-8"?>
<sst xmlns="http://schemas.openxmlformats.org/spreadsheetml/2006/main" count="185" uniqueCount="154">
  <si>
    <t>Time horizon</t>
  </si>
  <si>
    <t>https://apidocs.contrails.org/ef-interpretation.html</t>
  </si>
  <si>
    <t>Percentile</t>
  </si>
  <si>
    <t>EF per flight distance (J/m)</t>
  </si>
  <si>
    <t>Contrails</t>
  </si>
  <si>
    <t>Additional fuel burn (%)</t>
  </si>
  <si>
    <t>Source</t>
  </si>
  <si>
    <t>Constants</t>
  </si>
  <si>
    <t>Teoh 2020</t>
  </si>
  <si>
    <t>S_Earth</t>
  </si>
  <si>
    <t>m2</t>
  </si>
  <si>
    <t>t</t>
  </si>
  <si>
    <t>s/year</t>
  </si>
  <si>
    <t>Lee et al 2021</t>
  </si>
  <si>
    <t>Calculation:</t>
  </si>
  <si>
    <t>CO2</t>
  </si>
  <si>
    <t>Low</t>
  </si>
  <si>
    <t>Medium</t>
  </si>
  <si>
    <t>High</t>
  </si>
  <si>
    <t>Cooling</t>
  </si>
  <si>
    <t>Medum</t>
  </si>
  <si>
    <t>Very Low</t>
  </si>
  <si>
    <t xml:space="preserve">      Aircraft Type</t>
  </si>
  <si>
    <t>Aircraft Class</t>
  </si>
  <si>
    <t xml:space="preserve">      Passenger Aircraft</t>
  </si>
  <si>
    <t>Single Aisle (SA)</t>
  </si>
  <si>
    <t>Small Twin Aisle (STA)</t>
  </si>
  <si>
    <t>Large Twin Aisle (LTA)</t>
  </si>
  <si>
    <t>Large Quad (LQ)</t>
  </si>
  <si>
    <t>Regional Jet (RJ)</t>
  </si>
  <si>
    <t xml:space="preserve">      Freight Aircraft</t>
  </si>
  <si>
    <t>Single Aisle (SA-F)</t>
  </si>
  <si>
    <t>Small Twin Aisle (STA-F)</t>
  </si>
  <si>
    <t>Large Twin Aisle (LTA-F)</t>
  </si>
  <si>
    <t>Large Quad (LQ-F)</t>
  </si>
  <si>
    <t>Source: JetFuel_PTWa, Table 3</t>
  </si>
  <si>
    <t>5) Summary of Energy Consumption, Water Consumption and Emissions: J, or Gallon, or Grams per MJ of Fuel Throughput at Each Stage</t>
  </si>
  <si>
    <t>5.1) Energy Consumption, Water Consumption, and Total Emissions</t>
  </si>
  <si>
    <t>Total energy</t>
  </si>
  <si>
    <t>Fossi lfuels</t>
  </si>
  <si>
    <t>Coal</t>
  </si>
  <si>
    <t>Natural gas</t>
  </si>
  <si>
    <t>Petroleum</t>
  </si>
  <si>
    <t>Water consumption</t>
  </si>
  <si>
    <t>VOC</t>
  </si>
  <si>
    <t>CO</t>
  </si>
  <si>
    <t>NOx</t>
  </si>
  <si>
    <t>PM10</t>
  </si>
  <si>
    <t>PM2.5</t>
  </si>
  <si>
    <t>SOx</t>
  </si>
  <si>
    <t>BC</t>
  </si>
  <si>
    <t>OC</t>
  </si>
  <si>
    <t>CH4</t>
  </si>
  <si>
    <t>N2O</t>
  </si>
  <si>
    <t>CO2 (w/ C in VOC &amp; CO)</t>
  </si>
  <si>
    <t>Combined: Jet Fuel</t>
  </si>
  <si>
    <t>Feedstock + Fuel</t>
  </si>
  <si>
    <t>GWP100, incl. SLCF</t>
  </si>
  <si>
    <t>GWP100, excl. SLCF</t>
  </si>
  <si>
    <t>GWP20, incl. SLCF</t>
  </si>
  <si>
    <t>GWP20, excl. SLCF</t>
  </si>
  <si>
    <t>gCO2e / MJ, GWP 100</t>
  </si>
  <si>
    <t>Combustion (CO2 only)</t>
  </si>
  <si>
    <t>WTWa</t>
  </si>
  <si>
    <t xml:space="preserve">EIs </t>
  </si>
  <si>
    <t>mean</t>
  </si>
  <si>
    <t>units</t>
  </si>
  <si>
    <t>EINOx</t>
  </si>
  <si>
    <t>g/kg fuel</t>
  </si>
  <si>
    <t>EI H2O</t>
  </si>
  <si>
    <t>EI BC</t>
  </si>
  <si>
    <t>g BC/kg fuel</t>
  </si>
  <si>
    <t>EI SO2</t>
  </si>
  <si>
    <t>g SO2/kg fuel</t>
  </si>
  <si>
    <t>netNOx</t>
  </si>
  <si>
    <t>SO4</t>
  </si>
  <si>
    <t>GWP20</t>
  </si>
  <si>
    <t>GWP50</t>
  </si>
  <si>
    <t>GWP100</t>
  </si>
  <si>
    <t>GTP20</t>
  </si>
  <si>
    <t>GTP50</t>
  </si>
  <si>
    <t>GTP100</t>
  </si>
  <si>
    <t>H2O</t>
  </si>
  <si>
    <t>Sum</t>
  </si>
  <si>
    <t>Non-CO2, Non- CC Impacts (kg CO2e / kg fuel)</t>
  </si>
  <si>
    <t>Non-CO2, Non CC Metric values (g CO2e / g X)</t>
  </si>
  <si>
    <t>MJ / kg fuel</t>
  </si>
  <si>
    <t>GHGs (g CO2e/MJ)</t>
  </si>
  <si>
    <t>GHGs (kg CO2e/kg fuel)</t>
  </si>
  <si>
    <t>WTWa, sum</t>
  </si>
  <si>
    <t>PTWa (CO2)</t>
  </si>
  <si>
    <t>PTWa (non-CO2, non-CC)</t>
  </si>
  <si>
    <t>kg CO2 / kg fuel</t>
  </si>
  <si>
    <t>Fuel Intensity, kg per km
(kg fuel/km great circle distance)</t>
  </si>
  <si>
    <t>WTP</t>
  </si>
  <si>
    <t>EF per flight distance (J/km)</t>
  </si>
  <si>
    <t>Fuel burn (kg fuel / km)</t>
  </si>
  <si>
    <t>Contrail ERF / RF</t>
  </si>
  <si>
    <t>Year 2019 Contrail EF Percentiles</t>
  </si>
  <si>
    <t>Additional Fuel Burn</t>
  </si>
  <si>
    <t>AGWP [Wm-2 yr kg CO2-1]</t>
  </si>
  <si>
    <t>AGWP (Wm-2 yr kg CO2-1)</t>
  </si>
  <si>
    <t xml:space="preserve"> Contrail impact (kg CO2e/J)</t>
  </si>
  <si>
    <t>Additional fuel burn (kg/km)</t>
  </si>
  <si>
    <t>Very High</t>
  </si>
  <si>
    <t>Fuel Burn WTWa impact (kg CO2e / km)</t>
  </si>
  <si>
    <t>Fuel Burn WTWa impact (kg CO2e / kg fuel)</t>
  </si>
  <si>
    <t>Default:</t>
  </si>
  <si>
    <t>Final:</t>
  </si>
  <si>
    <t>Contrail Severity</t>
  </si>
  <si>
    <t>Contrail Avoidance Action</t>
  </si>
  <si>
    <t>Additional Fuel Burn due to Contrail Avoidance</t>
  </si>
  <si>
    <t>Custom:</t>
  </si>
  <si>
    <t>Override default values with custom input:</t>
  </si>
  <si>
    <t>Selections:</t>
  </si>
  <si>
    <t>GWP Time Horizon:</t>
  </si>
  <si>
    <t>GREET Aircraft:</t>
  </si>
  <si>
    <t>Impact from Contrails - Impact from Additional Fuel Burn due to Contrail Avoidance</t>
  </si>
  <si>
    <t>Average Trip Great Circle Distance
(km/operation)</t>
  </si>
  <si>
    <t>As-Operated Aircraft Average Trip Petroleum Jet Fuel Consumption (kg/operation)</t>
  </si>
  <si>
    <t>Source: JetFuel_WTP, Table 5 (result calculations based on formulas in JetFuel_WTWa)</t>
  </si>
  <si>
    <t>(May be variation in EI per aircraft; not considered here because GREET does not estimate H2O)</t>
  </si>
  <si>
    <t>Source: Lee et al (2021) SI, Master ERF Table</t>
  </si>
  <si>
    <t>Source: Lee et al (2021) SI, CO2-equiv metrics</t>
  </si>
  <si>
    <t>Combined impact (kg CO2e / kg fuel) Calculation</t>
  </si>
  <si>
    <t>Stage:</t>
  </si>
  <si>
    <t>ICAO conversion factors:</t>
  </si>
  <si>
    <t>Source: Jing et al (2022) Fig 2 (For comparison)</t>
  </si>
  <si>
    <t>WTP (GHGs)</t>
  </si>
  <si>
    <t>GREET1 2023</t>
  </si>
  <si>
    <t>Background Data and Calculations</t>
  </si>
  <si>
    <t>Select Time Horizon and Aircraft Type:</t>
  </si>
  <si>
    <t>Additional fuel burn impact (kg CO2e/km)</t>
  </si>
  <si>
    <t>Impact Calculations:</t>
  </si>
  <si>
    <t>(Year 2019)</t>
  </si>
  <si>
    <t>(J/m)</t>
  </si>
  <si>
    <t>(kg CO2e/km)</t>
  </si>
  <si>
    <t>Contrail Impact</t>
  </si>
  <si>
    <t>EF per flight distance</t>
  </si>
  <si>
    <t>EF Percentile</t>
  </si>
  <si>
    <t xml:space="preserve">If Positive (+) Savings, Avoid Contrails. </t>
  </si>
  <si>
    <t>If Negative (-) Savings, Don't Avoid Contrails.</t>
  </si>
  <si>
    <t>Don't Avoid Cooling (-) Contrails.</t>
  </si>
  <si>
    <t>It is associated with the RMI Contrail Impact Task Force Roadmap document.</t>
  </si>
  <si>
    <t xml:space="preserve">Chapter 4: Deciding When to Avoid Contrails - the Importance of Metrics </t>
  </si>
  <si>
    <t>Please cite Chapter 4 of the report when using the spreadsheet.</t>
  </si>
  <si>
    <t>Assistant Professor at University of Maine</t>
  </si>
  <si>
    <t>Department of Civil and Environmental Engineering </t>
  </si>
  <si>
    <t>The Contrail Severity Index concept is attributed to Marc Shapiro, Breakthrough Energy LLC.</t>
  </si>
  <si>
    <t>Smith 2021 (IPCC AR6)</t>
  </si>
  <si>
    <t>Selected</t>
  </si>
  <si>
    <t xml:space="preserve"> reed.miller@maine.edu</t>
  </si>
  <si>
    <t>This spreadsheet was developed by Reed Miller</t>
  </si>
  <si>
    <t>Cathcart J, Andrews S, Chen A, et al. 4. Deciding When to Avoid Contrails — the Importance of Metrics. In: Understanding Contrail Management: Opportunities, Challenges, and Insights. RMI; 2024. https://rmi.org/insight/understanding-contrail-management-opportunities-challenges-and-insights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</si>
</sst>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E+00"/>
    <numFmt numFmtId="165" formatCode="_(* #,##0.000_);_(* \(#,##0.000\);_(* &quot;-&quot;??_);_(@_)"/>
    <numFmt numFmtId="166" formatCode="0.0"/>
    <numFmt numFmtId="167" formatCode="\+0;\-0;0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theme="1"/>
      <name val="Aptos Narrow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i/>
      <sz val="11"/>
      <name val="Aptos Narrow"/>
      <family val="2"/>
      <scheme val="minor"/>
    </font>
    <font>
      <u/>
      <sz val="11"/>
      <color theme="3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A8E79D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DA9"/>
        <bgColor indexed="64"/>
      </patternFill>
    </fill>
    <fill>
      <patternFill patternType="solid">
        <fgColor theme="5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0" tint="-0.499984740745262"/>
      </right>
      <top/>
      <bottom style="thin">
        <color indexed="64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/>
      <top/>
      <bottom style="thin">
        <color theme="0" tint="-0.499984740745262"/>
      </bottom>
      <diagonal/>
    </border>
    <border>
      <left style="medium">
        <color indexed="64"/>
      </left>
      <right/>
      <top style="thin">
        <color theme="0" tint="-0.499984740745262"/>
      </top>
      <bottom/>
      <diagonal/>
    </border>
    <border>
      <left/>
      <right style="medium">
        <color indexed="64"/>
      </right>
      <top style="thin">
        <color theme="0" tint="-0.499984740745262"/>
      </top>
      <bottom/>
      <diagonal/>
    </border>
    <border>
      <left style="medium">
        <color indexed="64"/>
      </left>
      <right/>
      <top/>
      <bottom style="thin">
        <color theme="0" tint="-0.499984740745262"/>
      </bottom>
      <diagonal/>
    </border>
    <border>
      <left/>
      <right style="medium">
        <color indexed="64"/>
      </right>
      <top/>
      <bottom style="thin">
        <color theme="0" tint="-0.499984740745262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/>
  </cellStyleXfs>
  <cellXfs count="230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6" xfId="0" applyBorder="1"/>
    <xf numFmtId="11" fontId="0" fillId="0" borderId="7" xfId="0" applyNumberFormat="1" applyBorder="1"/>
    <xf numFmtId="0" fontId="2" fillId="0" borderId="0" xfId="0" applyFont="1"/>
    <xf numFmtId="0" fontId="3" fillId="0" borderId="2" xfId="0" applyFont="1" applyBorder="1" applyAlignment="1">
      <alignment horizontal="right" wrapText="1"/>
    </xf>
    <xf numFmtId="11" fontId="3" fillId="0" borderId="2" xfId="0" applyNumberFormat="1" applyFont="1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7" xfId="0" applyFont="1" applyBorder="1" applyAlignment="1">
      <alignment horizontal="right" wrapText="1"/>
    </xf>
    <xf numFmtId="0" fontId="3" fillId="0" borderId="8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wrapText="1"/>
    </xf>
    <xf numFmtId="0" fontId="0" fillId="0" borderId="3" xfId="0" applyBorder="1"/>
    <xf numFmtId="0" fontId="0" fillId="0" borderId="7" xfId="0" applyBorder="1"/>
    <xf numFmtId="0" fontId="0" fillId="0" borderId="5" xfId="0" applyBorder="1"/>
    <xf numFmtId="165" fontId="0" fillId="0" borderId="0" xfId="1" applyNumberFormat="1" applyFont="1" applyBorder="1"/>
    <xf numFmtId="165" fontId="2" fillId="0" borderId="7" xfId="1" applyNumberFormat="1" applyFont="1" applyBorder="1"/>
    <xf numFmtId="0" fontId="0" fillId="0" borderId="8" xfId="0" applyBorder="1"/>
    <xf numFmtId="11" fontId="0" fillId="0" borderId="0" xfId="0" applyNumberFormat="1"/>
    <xf numFmtId="0" fontId="0" fillId="9" borderId="1" xfId="0" applyFill="1" applyBorder="1"/>
    <xf numFmtId="0" fontId="0" fillId="9" borderId="2" xfId="0" applyFill="1" applyBorder="1"/>
    <xf numFmtId="0" fontId="0" fillId="9" borderId="4" xfId="0" applyFill="1" applyBorder="1"/>
    <xf numFmtId="1" fontId="0" fillId="10" borderId="4" xfId="0" applyNumberFormat="1" applyFill="1" applyBorder="1"/>
    <xf numFmtId="0" fontId="0" fillId="9" borderId="3" xfId="0" applyFill="1" applyBorder="1"/>
    <xf numFmtId="0" fontId="0" fillId="9" borderId="0" xfId="0" applyFill="1"/>
    <xf numFmtId="0" fontId="0" fillId="9" borderId="5" xfId="0" applyFill="1" applyBorder="1"/>
    <xf numFmtId="0" fontId="0" fillId="0" borderId="4" xfId="0" applyBorder="1" applyAlignment="1">
      <alignment horizontal="right"/>
    </xf>
    <xf numFmtId="1" fontId="0" fillId="10" borderId="0" xfId="0" applyNumberFormat="1" applyFill="1"/>
    <xf numFmtId="0" fontId="0" fillId="10" borderId="0" xfId="0" applyFill="1"/>
    <xf numFmtId="0" fontId="0" fillId="10" borderId="5" xfId="0" applyFill="1" applyBorder="1"/>
    <xf numFmtId="0" fontId="0" fillId="0" borderId="6" xfId="0" applyBorder="1" applyAlignment="1">
      <alignment horizontal="right"/>
    </xf>
    <xf numFmtId="2" fontId="0" fillId="10" borderId="6" xfId="0" applyNumberFormat="1" applyFill="1" applyBorder="1"/>
    <xf numFmtId="2" fontId="0" fillId="10" borderId="7" xfId="0" applyNumberFormat="1" applyFill="1" applyBorder="1"/>
    <xf numFmtId="0" fontId="0" fillId="10" borderId="7" xfId="0" applyFill="1" applyBorder="1"/>
    <xf numFmtId="0" fontId="0" fillId="10" borderId="8" xfId="0" applyFill="1" applyBorder="1"/>
    <xf numFmtId="43" fontId="0" fillId="10" borderId="4" xfId="1" applyFont="1" applyFill="1" applyBorder="1"/>
    <xf numFmtId="43" fontId="0" fillId="10" borderId="0" xfId="1" applyFont="1" applyFill="1" applyBorder="1"/>
    <xf numFmtId="43" fontId="0" fillId="10" borderId="6" xfId="1" applyFont="1" applyFill="1" applyBorder="1"/>
    <xf numFmtId="43" fontId="0" fillId="10" borderId="7" xfId="1" applyFont="1" applyFill="1" applyBorder="1"/>
    <xf numFmtId="0" fontId="10" fillId="8" borderId="2" xfId="0" applyFont="1" applyFill="1" applyBorder="1" applyAlignment="1">
      <alignment horizontal="center"/>
    </xf>
    <xf numFmtId="0" fontId="10" fillId="8" borderId="3" xfId="0" applyFont="1" applyFill="1" applyBorder="1" applyAlignment="1">
      <alignment horizontal="center"/>
    </xf>
    <xf numFmtId="0" fontId="0" fillId="0" borderId="5" xfId="0" applyBorder="1" applyAlignment="1">
      <alignment horizontal="right"/>
    </xf>
    <xf numFmtId="0" fontId="0" fillId="0" borderId="8" xfId="0" applyBorder="1" applyAlignment="1">
      <alignment horizontal="right"/>
    </xf>
    <xf numFmtId="43" fontId="0" fillId="0" borderId="8" xfId="0" applyNumberFormat="1" applyBorder="1"/>
    <xf numFmtId="43" fontId="0" fillId="0" borderId="0" xfId="1" applyFont="1" applyBorder="1"/>
    <xf numFmtId="0" fontId="2" fillId="0" borderId="0" xfId="0" applyFont="1" applyAlignment="1">
      <alignment wrapText="1"/>
    </xf>
    <xf numFmtId="0" fontId="0" fillId="0" borderId="0" xfId="0" applyAlignment="1">
      <alignment horizontal="left"/>
    </xf>
    <xf numFmtId="11" fontId="0" fillId="0" borderId="5" xfId="0" applyNumberFormat="1" applyBorder="1"/>
    <xf numFmtId="11" fontId="0" fillId="0" borderId="8" xfId="0" applyNumberFormat="1" applyBorder="1"/>
    <xf numFmtId="0" fontId="2" fillId="0" borderId="10" xfId="0" applyFont="1" applyBorder="1"/>
    <xf numFmtId="0" fontId="0" fillId="0" borderId="17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0" fillId="0" borderId="15" xfId="0" applyBorder="1"/>
    <xf numFmtId="0" fontId="2" fillId="0" borderId="17" xfId="0" applyFont="1" applyBorder="1"/>
    <xf numFmtId="0" fontId="0" fillId="9" borderId="18" xfId="0" applyFill="1" applyBorder="1"/>
    <xf numFmtId="0" fontId="0" fillId="9" borderId="13" xfId="0" applyFill="1" applyBorder="1"/>
    <xf numFmtId="0" fontId="10" fillId="8" borderId="19" xfId="0" applyFont="1" applyFill="1" applyBorder="1" applyAlignment="1">
      <alignment horizontal="center"/>
    </xf>
    <xf numFmtId="43" fontId="0" fillId="10" borderId="13" xfId="1" applyFont="1" applyFill="1" applyBorder="1"/>
    <xf numFmtId="0" fontId="0" fillId="0" borderId="20" xfId="0" applyBorder="1"/>
    <xf numFmtId="43" fontId="0" fillId="10" borderId="21" xfId="1" applyFont="1" applyFill="1" applyBorder="1"/>
    <xf numFmtId="0" fontId="2" fillId="0" borderId="22" xfId="0" applyFont="1" applyBorder="1" applyAlignment="1">
      <alignment horizontal="right"/>
    </xf>
    <xf numFmtId="43" fontId="2" fillId="0" borderId="16" xfId="1" applyFont="1" applyBorder="1"/>
    <xf numFmtId="43" fontId="2" fillId="0" borderId="15" xfId="1" applyFont="1" applyBorder="1"/>
    <xf numFmtId="0" fontId="0" fillId="0" borderId="10" xfId="0" applyBorder="1"/>
    <xf numFmtId="0" fontId="2" fillId="0" borderId="12" xfId="0" applyFont="1" applyBorder="1" applyAlignment="1">
      <alignment wrapText="1"/>
    </xf>
    <xf numFmtId="0" fontId="0" fillId="0" borderId="13" xfId="0" applyBorder="1" applyAlignment="1">
      <alignment wrapText="1"/>
    </xf>
    <xf numFmtId="0" fontId="0" fillId="0" borderId="18" xfId="0" applyBorder="1"/>
    <xf numFmtId="165" fontId="0" fillId="0" borderId="13" xfId="1" applyNumberFormat="1" applyFont="1" applyBorder="1"/>
    <xf numFmtId="0" fontId="2" fillId="0" borderId="12" xfId="0" applyFont="1" applyBorder="1"/>
    <xf numFmtId="0" fontId="2" fillId="0" borderId="13" xfId="0" applyFont="1" applyBorder="1"/>
    <xf numFmtId="43" fontId="0" fillId="0" borderId="13" xfId="1" applyFont="1" applyBorder="1"/>
    <xf numFmtId="0" fontId="2" fillId="0" borderId="14" xfId="0" applyFont="1" applyBorder="1"/>
    <xf numFmtId="43" fontId="2" fillId="0" borderId="16" xfId="0" applyNumberFormat="1" applyFont="1" applyBorder="1"/>
    <xf numFmtId="43" fontId="2" fillId="0" borderId="15" xfId="0" applyNumberFormat="1" applyFont="1" applyBorder="1"/>
    <xf numFmtId="0" fontId="0" fillId="0" borderId="24" xfId="0" applyBorder="1"/>
    <xf numFmtId="11" fontId="0" fillId="3" borderId="5" xfId="1" applyNumberFormat="1" applyFont="1" applyFill="1" applyBorder="1" applyAlignment="1">
      <alignment horizontal="center"/>
    </xf>
    <xf numFmtId="11" fontId="0" fillId="3" borderId="8" xfId="1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13" fillId="0" borderId="5" xfId="0" applyFont="1" applyBorder="1" applyAlignment="1">
      <alignment horizontal="center" wrapText="1"/>
    </xf>
    <xf numFmtId="0" fontId="0" fillId="0" borderId="12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2" xfId="0" applyBorder="1" applyAlignment="1">
      <alignment wrapText="1"/>
    </xf>
    <xf numFmtId="10" fontId="2" fillId="0" borderId="4" xfId="2" applyNumberFormat="1" applyFont="1" applyBorder="1" applyAlignment="1">
      <alignment horizontal="center"/>
    </xf>
    <xf numFmtId="10" fontId="2" fillId="0" borderId="0" xfId="2" applyNumberFormat="1" applyFont="1" applyBorder="1" applyAlignment="1">
      <alignment horizontal="center"/>
    </xf>
    <xf numFmtId="10" fontId="2" fillId="0" borderId="5" xfId="2" applyNumberFormat="1" applyFont="1" applyBorder="1" applyAlignment="1">
      <alignment horizontal="center"/>
    </xf>
    <xf numFmtId="9" fontId="2" fillId="0" borderId="0" xfId="0" applyNumberFormat="1" applyFont="1" applyAlignment="1">
      <alignment horizontal="center"/>
    </xf>
    <xf numFmtId="9" fontId="2" fillId="0" borderId="4" xfId="0" applyNumberFormat="1" applyFont="1" applyBorder="1" applyAlignment="1">
      <alignment horizontal="center"/>
    </xf>
    <xf numFmtId="9" fontId="2" fillId="0" borderId="5" xfId="0" applyNumberFormat="1" applyFont="1" applyBorder="1" applyAlignment="1">
      <alignment horizontal="center"/>
    </xf>
    <xf numFmtId="164" fontId="1" fillId="0" borderId="4" xfId="1" applyNumberFormat="1" applyFont="1" applyBorder="1" applyAlignment="1">
      <alignment horizontal="center" vertical="center"/>
    </xf>
    <xf numFmtId="164" fontId="1" fillId="0" borderId="0" xfId="1" applyNumberFormat="1" applyFont="1" applyBorder="1" applyAlignment="1">
      <alignment horizontal="center" vertical="center"/>
    </xf>
    <xf numFmtId="164" fontId="1" fillId="0" borderId="5" xfId="1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0" fillId="0" borderId="22" xfId="0" applyBorder="1" applyAlignment="1">
      <alignment horizontal="center"/>
    </xf>
    <xf numFmtId="0" fontId="2" fillId="0" borderId="17" xfId="0" applyFont="1" applyBorder="1" applyAlignment="1">
      <alignment horizontal="right"/>
    </xf>
    <xf numFmtId="0" fontId="2" fillId="0" borderId="0" xfId="0" applyFont="1" applyAlignment="1">
      <alignment horizontal="right"/>
    </xf>
    <xf numFmtId="164" fontId="1" fillId="0" borderId="13" xfId="1" applyNumberFormat="1" applyFont="1" applyBorder="1" applyAlignment="1">
      <alignment horizontal="center" vertical="center"/>
    </xf>
    <xf numFmtId="11" fontId="0" fillId="5" borderId="5" xfId="1" applyNumberFormat="1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5" xfId="0" applyBorder="1" applyAlignment="1">
      <alignment horizontal="center" wrapText="1"/>
    </xf>
    <xf numFmtId="9" fontId="2" fillId="0" borderId="13" xfId="0" applyNumberFormat="1" applyFont="1" applyBorder="1" applyAlignment="1">
      <alignment horizontal="center"/>
    </xf>
    <xf numFmtId="11" fontId="2" fillId="0" borderId="2" xfId="0" applyNumberFormat="1" applyFont="1" applyBorder="1" applyAlignment="1">
      <alignment horizontal="center"/>
    </xf>
    <xf numFmtId="11" fontId="2" fillId="0" borderId="0" xfId="0" applyNumberFormat="1" applyFont="1" applyAlignment="1">
      <alignment horizontal="center"/>
    </xf>
    <xf numFmtId="11" fontId="2" fillId="0" borderId="7" xfId="0" applyNumberFormat="1" applyFont="1" applyBorder="1" applyAlignment="1">
      <alignment horizontal="center"/>
    </xf>
    <xf numFmtId="11" fontId="2" fillId="0" borderId="16" xfId="0" applyNumberFormat="1" applyFont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13" fillId="0" borderId="40" xfId="0" applyFont="1" applyBorder="1" applyAlignment="1">
      <alignment horizontal="center" wrapText="1"/>
    </xf>
    <xf numFmtId="43" fontId="0" fillId="3" borderId="40" xfId="1" applyFont="1" applyFill="1" applyBorder="1" applyAlignment="1">
      <alignment horizontal="center"/>
    </xf>
    <xf numFmtId="43" fontId="0" fillId="5" borderId="40" xfId="1" applyFont="1" applyFill="1" applyBorder="1" applyAlignment="1">
      <alignment horizontal="center"/>
    </xf>
    <xf numFmtId="43" fontId="0" fillId="3" borderId="39" xfId="1" applyFont="1" applyFill="1" applyBorder="1" applyAlignment="1">
      <alignment horizontal="center"/>
    </xf>
    <xf numFmtId="0" fontId="13" fillId="0" borderId="42" xfId="0" applyFont="1" applyBorder="1" applyAlignment="1">
      <alignment horizontal="center" wrapText="1"/>
    </xf>
    <xf numFmtId="43" fontId="0" fillId="3" borderId="42" xfId="1" applyFont="1" applyFill="1" applyBorder="1" applyAlignment="1">
      <alignment horizontal="center"/>
    </xf>
    <xf numFmtId="43" fontId="0" fillId="5" borderId="42" xfId="1" applyFont="1" applyFill="1" applyBorder="1" applyAlignment="1">
      <alignment horizontal="center"/>
    </xf>
    <xf numFmtId="43" fontId="0" fillId="3" borderId="41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7" borderId="26" xfId="0" applyFont="1" applyFill="1" applyBorder="1" applyAlignment="1">
      <alignment horizontal="center" vertical="center"/>
    </xf>
    <xf numFmtId="0" fontId="0" fillId="0" borderId="43" xfId="0" applyBorder="1"/>
    <xf numFmtId="0" fontId="0" fillId="0" borderId="44" xfId="0" applyBorder="1"/>
    <xf numFmtId="43" fontId="0" fillId="0" borderId="44" xfId="1" applyFont="1" applyBorder="1"/>
    <xf numFmtId="0" fontId="0" fillId="0" borderId="46" xfId="0" applyBorder="1"/>
    <xf numFmtId="0" fontId="2" fillId="0" borderId="13" xfId="0" applyFont="1" applyBorder="1" applyAlignment="1">
      <alignment wrapText="1"/>
    </xf>
    <xf numFmtId="0" fontId="0" fillId="0" borderId="47" xfId="0" applyBorder="1"/>
    <xf numFmtId="0" fontId="0" fillId="0" borderId="48" xfId="0" applyBorder="1"/>
    <xf numFmtId="0" fontId="13" fillId="0" borderId="12" xfId="0" applyFont="1" applyBorder="1"/>
    <xf numFmtId="0" fontId="2" fillId="0" borderId="45" xfId="0" applyFont="1" applyBorder="1"/>
    <xf numFmtId="0" fontId="2" fillId="0" borderId="19" xfId="0" applyFont="1" applyBorder="1"/>
    <xf numFmtId="0" fontId="4" fillId="0" borderId="10" xfId="0" applyFont="1" applyBorder="1"/>
    <xf numFmtId="0" fontId="4" fillId="0" borderId="17" xfId="0" applyFont="1" applyBorder="1" applyAlignment="1">
      <alignment horizontal="right"/>
    </xf>
    <xf numFmtId="0" fontId="3" fillId="0" borderId="17" xfId="0" applyFont="1" applyBorder="1" applyAlignment="1">
      <alignment wrapText="1"/>
    </xf>
    <xf numFmtId="0" fontId="3" fillId="0" borderId="19" xfId="0" applyFont="1" applyBorder="1"/>
    <xf numFmtId="0" fontId="3" fillId="0" borderId="20" xfId="0" applyFont="1" applyBorder="1"/>
    <xf numFmtId="0" fontId="3" fillId="0" borderId="12" xfId="0" applyFont="1" applyBorder="1"/>
    <xf numFmtId="0" fontId="8" fillId="0" borderId="12" xfId="4" applyBorder="1"/>
    <xf numFmtId="0" fontId="7" fillId="0" borderId="1" xfId="3" applyFont="1" applyBorder="1"/>
    <xf numFmtId="0" fontId="2" fillId="0" borderId="3" xfId="0" applyFont="1" applyBorder="1"/>
    <xf numFmtId="0" fontId="2" fillId="0" borderId="20" xfId="0" applyFont="1" applyBorder="1"/>
    <xf numFmtId="165" fontId="2" fillId="0" borderId="21" xfId="1" applyNumberFormat="1" applyFont="1" applyBorder="1"/>
    <xf numFmtId="43" fontId="0" fillId="0" borderId="42" xfId="1" applyFont="1" applyFill="1" applyBorder="1" applyAlignment="1">
      <alignment horizontal="center"/>
    </xf>
    <xf numFmtId="11" fontId="0" fillId="3" borderId="41" xfId="1" applyNumberFormat="1" applyFont="1" applyFill="1" applyBorder="1" applyAlignment="1">
      <alignment horizontal="right"/>
    </xf>
    <xf numFmtId="2" fontId="0" fillId="3" borderId="8" xfId="1" applyNumberFormat="1" applyFont="1" applyFill="1" applyBorder="1" applyAlignment="1">
      <alignment horizontal="right"/>
    </xf>
    <xf numFmtId="167" fontId="0" fillId="0" borderId="2" xfId="1" applyNumberFormat="1" applyFont="1" applyBorder="1"/>
    <xf numFmtId="167" fontId="0" fillId="0" borderId="3" xfId="1" applyNumberFormat="1" applyFont="1" applyBorder="1"/>
    <xf numFmtId="167" fontId="0" fillId="0" borderId="1" xfId="1" applyNumberFormat="1" applyFont="1" applyBorder="1"/>
    <xf numFmtId="167" fontId="0" fillId="0" borderId="0" xfId="1" applyNumberFormat="1" applyFont="1" applyBorder="1"/>
    <xf numFmtId="167" fontId="0" fillId="0" borderId="5" xfId="1" applyNumberFormat="1" applyFont="1" applyBorder="1"/>
    <xf numFmtId="167" fontId="0" fillId="0" borderId="4" xfId="1" applyNumberFormat="1" applyFont="1" applyBorder="1"/>
    <xf numFmtId="167" fontId="0" fillId="0" borderId="7" xfId="1" applyNumberFormat="1" applyFont="1" applyBorder="1"/>
    <xf numFmtId="167" fontId="0" fillId="0" borderId="8" xfId="1" applyNumberFormat="1" applyFont="1" applyBorder="1"/>
    <xf numFmtId="167" fontId="0" fillId="0" borderId="6" xfId="1" applyNumberFormat="1" applyFont="1" applyBorder="1"/>
    <xf numFmtId="167" fontId="0" fillId="0" borderId="16" xfId="1" applyNumberFormat="1" applyFont="1" applyBorder="1"/>
    <xf numFmtId="167" fontId="0" fillId="0" borderId="34" xfId="1" applyNumberFormat="1" applyFont="1" applyBorder="1"/>
    <xf numFmtId="167" fontId="0" fillId="0" borderId="22" xfId="1" applyNumberFormat="1" applyFont="1" applyBorder="1"/>
    <xf numFmtId="166" fontId="0" fillId="0" borderId="18" xfId="0" applyNumberFormat="1" applyBorder="1" applyAlignment="1">
      <alignment horizontal="center"/>
    </xf>
    <xf numFmtId="166" fontId="0" fillId="0" borderId="13" xfId="0" applyNumberFormat="1" applyBorder="1" applyAlignment="1">
      <alignment horizontal="center"/>
    </xf>
    <xf numFmtId="166" fontId="0" fillId="0" borderId="21" xfId="0" applyNumberFormat="1" applyBorder="1" applyAlignment="1">
      <alignment horizontal="center"/>
    </xf>
    <xf numFmtId="166" fontId="0" fillId="0" borderId="15" xfId="0" applyNumberFormat="1" applyBorder="1" applyAlignment="1">
      <alignment horizontal="center"/>
    </xf>
    <xf numFmtId="166" fontId="0" fillId="0" borderId="35" xfId="0" applyNumberFormat="1" applyBorder="1" applyAlignment="1">
      <alignment horizontal="center" vertical="center"/>
    </xf>
    <xf numFmtId="166" fontId="0" fillId="0" borderId="17" xfId="0" applyNumberFormat="1" applyBorder="1" applyAlignment="1">
      <alignment horizontal="center" vertical="center"/>
    </xf>
    <xf numFmtId="166" fontId="0" fillId="0" borderId="23" xfId="0" applyNumberFormat="1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0" fontId="13" fillId="0" borderId="6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14" fontId="0" fillId="0" borderId="0" xfId="0" applyNumberFormat="1"/>
    <xf numFmtId="0" fontId="3" fillId="0" borderId="0" xfId="0" applyFont="1" applyAlignment="1">
      <alignment wrapText="1"/>
    </xf>
    <xf numFmtId="0" fontId="5" fillId="0" borderId="0" xfId="0" applyFont="1" applyAlignment="1">
      <alignment vertical="center" wrapText="1"/>
    </xf>
    <xf numFmtId="11" fontId="3" fillId="0" borderId="0" xfId="0" applyNumberFormat="1" applyFont="1" applyAlignment="1">
      <alignment horizontal="right" wrapText="1"/>
    </xf>
    <xf numFmtId="0" fontId="5" fillId="0" borderId="0" xfId="0" applyFont="1" applyAlignment="1">
      <alignment horizontal="right" wrapText="1"/>
    </xf>
    <xf numFmtId="0" fontId="3" fillId="0" borderId="2" xfId="0" applyFont="1" applyBorder="1"/>
    <xf numFmtId="0" fontId="4" fillId="0" borderId="5" xfId="0" applyFont="1" applyBorder="1" applyAlignment="1">
      <alignment wrapText="1"/>
    </xf>
    <xf numFmtId="11" fontId="4" fillId="0" borderId="5" xfId="0" applyNumberFormat="1" applyFont="1" applyBorder="1" applyAlignment="1">
      <alignment horizontal="right" wrapText="1"/>
    </xf>
    <xf numFmtId="11" fontId="3" fillId="0" borderId="7" xfId="0" applyNumberFormat="1" applyFont="1" applyBorder="1" applyAlignment="1">
      <alignment horizontal="right" wrapText="1"/>
    </xf>
    <xf numFmtId="11" fontId="4" fillId="0" borderId="8" xfId="0" applyNumberFormat="1" applyFont="1" applyBorder="1" applyAlignment="1">
      <alignment horizontal="right" wrapText="1"/>
    </xf>
    <xf numFmtId="0" fontId="3" fillId="0" borderId="19" xfId="0" applyFont="1" applyBorder="1" applyAlignment="1">
      <alignment wrapText="1"/>
    </xf>
    <xf numFmtId="0" fontId="3" fillId="0" borderId="12" xfId="0" applyFont="1" applyBorder="1" applyAlignment="1">
      <alignment horizontal="right" wrapText="1"/>
    </xf>
    <xf numFmtId="0" fontId="3" fillId="0" borderId="20" xfId="0" applyFont="1" applyBorder="1" applyAlignment="1">
      <alignment horizontal="right" wrapText="1"/>
    </xf>
    <xf numFmtId="0" fontId="9" fillId="0" borderId="0" xfId="4" applyFont="1" applyAlignment="1">
      <alignment horizontal="right"/>
    </xf>
    <xf numFmtId="0" fontId="8" fillId="0" borderId="0" xfId="4"/>
    <xf numFmtId="0" fontId="16" fillId="0" borderId="0" xfId="0" applyFont="1"/>
    <xf numFmtId="0" fontId="2" fillId="4" borderId="9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2" fillId="11" borderId="21" xfId="0" applyFont="1" applyFill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6" borderId="25" xfId="0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5" borderId="25" xfId="0" applyFont="1" applyFill="1" applyBorder="1" applyAlignment="1">
      <alignment horizontal="center" vertical="center"/>
    </xf>
    <xf numFmtId="0" fontId="15" fillId="0" borderId="32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 wrapText="1"/>
    </xf>
    <xf numFmtId="0" fontId="2" fillId="4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15" fillId="2" borderId="31" xfId="0" applyFont="1" applyFill="1" applyBorder="1" applyAlignment="1">
      <alignment horizontal="center" vertical="center" wrapText="1"/>
    </xf>
    <xf numFmtId="0" fontId="15" fillId="2" borderId="32" xfId="0" applyFont="1" applyFill="1" applyBorder="1" applyAlignment="1">
      <alignment horizontal="center" vertical="center" wrapText="1"/>
    </xf>
    <xf numFmtId="0" fontId="15" fillId="2" borderId="33" xfId="0" applyFont="1" applyFill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5" borderId="0" xfId="0" applyFont="1" applyFill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4" fillId="0" borderId="17" xfId="0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6" fillId="0" borderId="0" xfId="3" applyAlignment="1">
      <alignment horizontal="left" vertical="center" indent="1"/>
    </xf>
  </cellXfs>
  <cellStyles count="5">
    <cellStyle name="Comma" xfId="1" builtinId="3"/>
    <cellStyle name="Hyperlink" xfId="3" builtinId="8"/>
    <cellStyle name="Normal" xfId="0" builtinId="0"/>
    <cellStyle name="Normal 2" xfId="4" xr:uid="{B3B3B6D0-A1A8-484D-94DA-85886C38E4F4}"/>
    <cellStyle name="Percent" xfId="2" builtinId="5"/>
  </cellStyles>
  <dxfs count="1">
    <dxf>
      <font>
        <b/>
        <i/>
        <color auto="1"/>
      </font>
    </dxf>
  </dxfs>
  <tableStyles count="0" defaultTableStyle="TableStyleMedium2" defaultPivotStyle="PivotStyleLight16"/>
  <colors>
    <mruColors>
      <color rgb="FF9A0000"/>
      <color rgb="FFFFFF99"/>
      <color rgb="FFE8E8E8"/>
      <color rgb="FFA8E79D"/>
      <color rgb="FFFFE1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'Background Data'!$D$79</c:f>
              <c:strCache>
                <c:ptCount val="1"/>
                <c:pt idx="0">
                  <c:v>EF per flight distance (J/m)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'Background Data'!$C$80:$C$100</c:f>
              <c:numCache>
                <c:formatCode>General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99</c:v>
                </c:pt>
              </c:numCache>
            </c:numRef>
          </c:xVal>
          <c:yVal>
            <c:numRef>
              <c:f>'Background Data'!$D$80:$D$100</c:f>
              <c:numCache>
                <c:formatCode>0.00E+00</c:formatCode>
                <c:ptCount val="21"/>
                <c:pt idx="0">
                  <c:v>-639000000</c:v>
                </c:pt>
                <c:pt idx="1">
                  <c:v>-195000000</c:v>
                </c:pt>
                <c:pt idx="2">
                  <c:v>-69300000</c:v>
                </c:pt>
                <c:pt idx="3">
                  <c:v>-24500000</c:v>
                </c:pt>
                <c:pt idx="4">
                  <c:v>-7780000</c:v>
                </c:pt>
                <c:pt idx="5">
                  <c:v>-2690000</c:v>
                </c:pt>
                <c:pt idx="6">
                  <c:v>-1470000</c:v>
                </c:pt>
                <c:pt idx="7">
                  <c:v>-274000</c:v>
                </c:pt>
                <c:pt idx="8">
                  <c:v>905000.00000000012</c:v>
                </c:pt>
                <c:pt idx="9">
                  <c:v>6310000</c:v>
                </c:pt>
                <c:pt idx="10">
                  <c:v>17400000</c:v>
                </c:pt>
                <c:pt idx="11">
                  <c:v>37200000</c:v>
                </c:pt>
                <c:pt idx="12">
                  <c:v>70600000</c:v>
                </c:pt>
                <c:pt idx="13">
                  <c:v>123000000</c:v>
                </c:pt>
                <c:pt idx="14">
                  <c:v>200000000</c:v>
                </c:pt>
                <c:pt idx="15">
                  <c:v>307000000</c:v>
                </c:pt>
                <c:pt idx="16">
                  <c:v>457000000</c:v>
                </c:pt>
                <c:pt idx="17">
                  <c:v>672000000</c:v>
                </c:pt>
                <c:pt idx="18">
                  <c:v>1010000000</c:v>
                </c:pt>
                <c:pt idx="19">
                  <c:v>1630000000</c:v>
                </c:pt>
                <c:pt idx="20">
                  <c:v>3140000000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BC-4F96-9761-03A3641F3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911599"/>
        <c:axId val="774904399"/>
      </c:scatterChart>
      <c:valAx>
        <c:axId val="774911599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Percentile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904399"/>
        <c:crosses val="autoZero"/>
        <c:crossBetween val="midCat"/>
      </c:valAx>
      <c:valAx>
        <c:axId val="77490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'Background Data'!$D$79</c:f>
              <c:strCache>
                <c:ptCount val="1"/>
                <c:pt idx="0">
                  <c:v>EF per flight distance (J/m)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911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130599</xdr:colOff>
      <xdr:row>78</xdr:row>
      <xdr:rowOff>531495</xdr:rowOff>
    </xdr:from>
    <xdr:to>
      <xdr:col>1</xdr:col>
      <xdr:colOff>1620308</xdr:colOff>
      <xdr:row>99</xdr:row>
      <xdr:rowOff>150778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5D5FE2-11FC-4BDC-B407-F6B24B4C5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432" y="14903662"/>
          <a:ext cx="1482089" cy="3947866"/>
        </a:xfrm>
        <a:prstGeom prst="rect">
          <a:avLst/>
        </a:prstGeom>
      </xdr:spPr>
    </xdr:pic>
    <xdr:clientData/>
  </xdr:twoCellAnchor>
  <xdr:oneCellAnchor>
    <xdr:from>
      <xdr:col>1</xdr:col>
      <xdr:colOff>19263</xdr:colOff>
      <xdr:row>117</xdr:row>
      <xdr:rowOff>23071</xdr:rowOff>
    </xdr:from>
    <xdr:ext cx="5153026" cy="4381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2B7C2930-CEFF-4837-BE34-1AA3C1D01B96}"/>
                </a:ext>
              </a:extLst>
            </xdr:cNvPr>
            <xdr:cNvSpPr txBox="1"/>
          </xdr:nvSpPr>
          <xdr:spPr>
            <a:xfrm>
              <a:off x="633096" y="22332738"/>
              <a:ext cx="5153026" cy="438150"/>
            </a:xfrm>
            <a:prstGeom prst="rect">
              <a:avLst/>
            </a:prstGeom>
            <a:solidFill>
              <a:sysClr val="window" lastClr="FFFFFF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𝐶𝑜𝑛𝑡𝑟𝑎𝑖𝑙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𝐺𝑊𝑃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,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𝐻</m:t>
                        </m:r>
                      </m:sub>
                    </m:sSub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𝑘𝑔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𝐶𝑂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𝑒</m:t>
                        </m:r>
                      </m:e>
                    </m:d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𝐶𝑜𝑛𝑡𝑟𝑎𝑖𝑙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𝐸𝐹</m:t>
                        </m:r>
                      </m:sub>
                    </m:sSub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𝐽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 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𝐸𝑅𝐹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𝑅𝐹</m:t>
                        </m:r>
                      </m:den>
                    </m:f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×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𝐺𝑊𝑃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𝐻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𝑓𝑎𝑐𝑡𝑜𝑟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[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𝑘𝑔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𝐶𝑂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𝑒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𝐽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]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2B7C2930-CEFF-4837-BE34-1AA3C1D01B96}"/>
                </a:ext>
              </a:extLst>
            </xdr:cNvPr>
            <xdr:cNvSpPr txBox="1"/>
          </xdr:nvSpPr>
          <xdr:spPr>
            <a:xfrm>
              <a:off x="633096" y="22332738"/>
              <a:ext cx="5153026" cy="438150"/>
            </a:xfrm>
            <a:prstGeom prst="rect">
              <a:avLst/>
            </a:prstGeom>
            <a:solidFill>
              <a:sysClr val="window" lastClr="FFFFFF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〖𝐶𝑜𝑛𝑡𝑟𝑎𝑖𝑙〗_(𝐺𝑊𝑃, 𝐻) [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𝑘𝑔 𝐶𝑂2𝑒]</a:t>
              </a:r>
              <a:r>
                <a:rPr lang="en-US" sz="1100" i="0">
                  <a:latin typeface="Cambria Math" panose="02040503050406030204" pitchFamily="18" charset="0"/>
                </a:rPr>
                <a:t>=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〖𝐶𝑜𝑛𝑡𝑟𝑎𝑖𝑙〗_𝐸𝐹 [𝐽] </a:t>
              </a:r>
              <a:r>
                <a:rPr lang="en-US" sz="1100" b="0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  𝐸𝑅𝐹/𝑅𝐹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〖𝐺𝑊𝑃〗_𝐻  𝑓𝑎𝑐𝑡𝑜𝑟[(𝑘𝑔 𝐶𝑂2𝑒)/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𝐽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]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20109</xdr:colOff>
      <xdr:row>113</xdr:row>
      <xdr:rowOff>57785</xdr:rowOff>
    </xdr:from>
    <xdr:ext cx="6432762" cy="6407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8EF91D7-5A17-48EA-B29D-0ADD773D7E3D}"/>
                </a:ext>
              </a:extLst>
            </xdr:cNvPr>
            <xdr:cNvSpPr txBox="1"/>
          </xdr:nvSpPr>
          <xdr:spPr>
            <a:xfrm>
              <a:off x="633942" y="21647785"/>
              <a:ext cx="6432762" cy="640715"/>
            </a:xfrm>
            <a:prstGeom prst="rect">
              <a:avLst/>
            </a:prstGeom>
            <a:solidFill>
              <a:sysClr val="window" lastClr="FFFFFF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𝐺𝑊𝑃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𝐻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𝑓𝑎𝑐𝑡𝑜𝑟</m:t>
                    </m:r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𝑘𝑔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𝐶𝑂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𝑒</m:t>
                            </m:r>
                          </m:num>
                          <m:den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𝐽</m:t>
                            </m:r>
                          </m:den>
                        </m:f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𝑡𝑖𝑚𝑒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𝑝𝑒𝑟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𝑦𝑒𝑎𝑟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𝑠</m:t>
                            </m:r>
                          </m:e>
                        </m:d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×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𝐸𝑎𝑟𝑡</m:t>
                        </m:r>
                        <m:sSup>
                          <m:sSup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h</m:t>
                            </m:r>
                          </m:e>
                          <m: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′</m:t>
                            </m:r>
                          </m:sup>
                        </m:s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𝑠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𝑠𝑢𝑟𝑓𝑎𝑐𝑒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𝑚</m:t>
                                </m:r>
                              </m:e>
                              <m:sup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×</m:t>
                        </m:r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𝐴𝐺𝑊𝑃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𝐻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 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𝐶𝑂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b>
                        </m:s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[</m:t>
                        </m:r>
                        <m:f>
                          <m:f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𝑊</m:t>
                            </m:r>
                            <m:sSup>
                              <m:sSup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𝑚</m:t>
                                </m:r>
                              </m:e>
                              <m:sup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−2</m:t>
                                </m:r>
                              </m:sup>
                            </m:sSup>
                          </m:num>
                          <m:den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𝑘𝑔𝐶𝑂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den>
                        </m:f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8EF91D7-5A17-48EA-B29D-0ADD773D7E3D}"/>
                </a:ext>
              </a:extLst>
            </xdr:cNvPr>
            <xdr:cNvSpPr txBox="1"/>
          </xdr:nvSpPr>
          <xdr:spPr>
            <a:xfrm>
              <a:off x="633942" y="21647785"/>
              <a:ext cx="6432762" cy="640715"/>
            </a:xfrm>
            <a:prstGeom prst="rect">
              <a:avLst/>
            </a:prstGeom>
            <a:solidFill>
              <a:sysClr val="window" lastClr="FFFFFF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〖𝐺𝑊𝑃〗_𝐻  𝑓𝑎𝑐𝑡𝑜𝑟[(𝑘𝑔 𝐶𝑂2𝑒)/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𝐽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]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/(𝑡𝑖𝑚𝑒 𝑝𝑒𝑟 𝑦𝑒𝑎𝑟[𝑠]×𝐸𝑎𝑟𝑡ℎ^′ 𝑠 𝑠𝑢𝑟𝑓𝑎𝑐𝑒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[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𝑚^2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]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×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〖𝐴𝐺𝑊𝑃〗_(𝐻, 𝐶𝑂2) [(𝑊𝑚^(−2))/𝑘𝑔𝐶𝑂2]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14394</xdr:colOff>
      <xdr:row>119</xdr:row>
      <xdr:rowOff>167428</xdr:rowOff>
    </xdr:from>
    <xdr:ext cx="5153026" cy="4381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8533E66-4F44-4421-B8B5-7E61D6C6ACBA}"/>
                </a:ext>
              </a:extLst>
            </xdr:cNvPr>
            <xdr:cNvSpPr txBox="1"/>
          </xdr:nvSpPr>
          <xdr:spPr>
            <a:xfrm>
              <a:off x="628227" y="22836928"/>
              <a:ext cx="5153026" cy="438150"/>
            </a:xfrm>
            <a:prstGeom prst="rect">
              <a:avLst/>
            </a:prstGeom>
            <a:solidFill>
              <a:sysClr val="window" lastClr="FFFFFF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𝐶𝑜𝑛𝑡𝑟𝑎𝑖𝑙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𝐺𝑊𝑃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 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𝐻</m:t>
                            </m:r>
                          </m:sub>
                        </m:sSub>
                        <m:d>
                          <m:dPr>
                            <m:begChr m:val="["/>
                            <m:endChr m:val="]"/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𝑘𝑔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𝐶𝑂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</m:t>
                            </m:r>
                          </m:e>
                        </m:d>
                      </m:num>
                      <m:den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𝐶𝑜𝑛𝑡𝑟𝑎𝑖𝑙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𝐸𝐹</m:t>
                            </m:r>
                          </m:sub>
                        </m:sSub>
                        <m:d>
                          <m:dPr>
                            <m:begChr m:val="["/>
                            <m:endChr m:val="]"/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𝐽</m:t>
                            </m:r>
                          </m:e>
                        </m:d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𝐸𝑅𝐹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𝑅𝐹</m:t>
                        </m:r>
                      </m:den>
                    </m:f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×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𝐺𝑊𝑃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𝐻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𝑓𝑎𝑐𝑡𝑜𝑟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[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𝑘𝑔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𝐶𝑂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𝑒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𝐽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]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8533E66-4F44-4421-B8B5-7E61D6C6ACBA}"/>
                </a:ext>
              </a:extLst>
            </xdr:cNvPr>
            <xdr:cNvSpPr txBox="1"/>
          </xdr:nvSpPr>
          <xdr:spPr>
            <a:xfrm>
              <a:off x="628227" y="22836928"/>
              <a:ext cx="5153026" cy="438150"/>
            </a:xfrm>
            <a:prstGeom prst="rect">
              <a:avLst/>
            </a:prstGeom>
            <a:solidFill>
              <a:sysClr val="window" lastClr="FFFFFF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〖𝐶𝑜𝑛𝑡𝑟𝑎𝑖𝑙〗_(𝐺𝑊𝑃, 𝐻) [𝑘𝑔 𝐶𝑂2𝑒]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〖𝐶𝑜𝑛𝑡𝑟𝑎𝑖𝑙〗_𝐸𝐹 [𝐽] 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b="0" i="0">
                  <a:latin typeface="Cambria Math" panose="02040503050406030204" pitchFamily="18" charset="0"/>
                </a:rPr>
                <a:t>=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 𝐸𝑅𝐹/𝑅𝐹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〖𝐺𝑊𝑃〗_𝐻  𝑓𝑎𝑐𝑡𝑜𝑟[(𝑘𝑔 𝐶𝑂2𝑒)/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𝐽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]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10</xdr:col>
      <xdr:colOff>15874</xdr:colOff>
      <xdr:row>78</xdr:row>
      <xdr:rowOff>729191</xdr:rowOff>
    </xdr:from>
    <xdr:to>
      <xdr:col>17</xdr:col>
      <xdr:colOff>189017</xdr:colOff>
      <xdr:row>94</xdr:row>
      <xdr:rowOff>45296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EB697EC-E2DB-D9F3-922B-649F74DB19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</xdr:col>
      <xdr:colOff>33867</xdr:colOff>
      <xdr:row>123</xdr:row>
      <xdr:rowOff>143932</xdr:rowOff>
    </xdr:from>
    <xdr:ext cx="5706533" cy="64346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69EB8A2-AA22-4B48-A193-6EB6CCA967FE}"/>
                </a:ext>
              </a:extLst>
            </xdr:cNvPr>
            <xdr:cNvSpPr txBox="1"/>
          </xdr:nvSpPr>
          <xdr:spPr>
            <a:xfrm>
              <a:off x="643467" y="24104599"/>
              <a:ext cx="5706533" cy="643467"/>
            </a:xfrm>
            <a:prstGeom prst="rect">
              <a:avLst/>
            </a:prstGeom>
            <a:solidFill>
              <a:sysClr val="window" lastClr="FFFFFF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𝐶𝑜𝑛𝑡𝑟𝑎𝑖𝑙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𝐺𝑊𝑃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 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𝐻</m:t>
                            </m:r>
                          </m:sub>
                        </m:sSub>
                        <m:d>
                          <m:dPr>
                            <m:begChr m:val="["/>
                            <m:endChr m:val="]"/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𝑘𝑔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𝐶𝑂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</m:t>
                            </m:r>
                          </m:e>
                        </m:d>
                      </m:num>
                      <m:den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𝐶𝑜𝑛𝑡𝑟𝑎𝑖𝑙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𝐸𝐹</m:t>
                            </m:r>
                          </m:sub>
                        </m:sSub>
                        <m:d>
                          <m:dPr>
                            <m:begChr m:val="["/>
                            <m:endChr m:val="]"/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𝐽</m:t>
                            </m:r>
                          </m:e>
                        </m:d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f>
                      <m:f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f>
                          <m:f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𝐸𝑅𝐹</m:t>
                            </m:r>
                          </m:num>
                          <m:den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𝑅𝐹</m:t>
                            </m:r>
                          </m:den>
                        </m:f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𝑡𝑖𝑚𝑒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𝑝𝑒𝑟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𝑦𝑒𝑎𝑟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𝑠</m:t>
                            </m:r>
                          </m:e>
                        </m:d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×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𝐸𝑎𝑟𝑡</m:t>
                        </m:r>
                        <m:sSup>
                          <m:sSup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h</m:t>
                            </m:r>
                          </m:e>
                          <m: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′</m:t>
                            </m:r>
                          </m:sup>
                        </m:s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𝑠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𝑠𝑢𝑟𝑓𝑎𝑐𝑒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𝑚</m:t>
                                </m:r>
                              </m:e>
                              <m:sup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×</m:t>
                        </m:r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𝐴𝐺𝑊𝑃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𝐻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 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𝐶𝑂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b>
                        </m:s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[</m:t>
                        </m:r>
                        <m:f>
                          <m:f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𝑊</m:t>
                            </m:r>
                            <m:sSup>
                              <m:sSup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𝑚</m:t>
                                </m:r>
                              </m:e>
                              <m:sup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−2</m:t>
                                </m:r>
                              </m:sup>
                            </m:sSup>
                          </m:num>
                          <m:den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𝑘𝑔𝐶𝑂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den>
                        </m:f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69EB8A2-AA22-4B48-A193-6EB6CCA967FE}"/>
                </a:ext>
              </a:extLst>
            </xdr:cNvPr>
            <xdr:cNvSpPr txBox="1"/>
          </xdr:nvSpPr>
          <xdr:spPr>
            <a:xfrm>
              <a:off x="643467" y="24104599"/>
              <a:ext cx="5706533" cy="643467"/>
            </a:xfrm>
            <a:prstGeom prst="rect">
              <a:avLst/>
            </a:prstGeom>
            <a:solidFill>
              <a:sysClr val="window" lastClr="FFFFFF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〖𝐶𝑜𝑛𝑡𝑟𝑎𝑖𝑙〗_(𝐺𝑊𝑃, 𝐻) [𝑘𝑔 𝐶𝑂2𝑒])/(〖𝐶𝑜𝑛𝑡𝑟𝑎𝑖𝑙〗_𝐸𝐹 [𝐽]  )</a:t>
              </a:r>
              <a:r>
                <a:rPr lang="en-US" sz="1100" b="0" i="0">
                  <a:latin typeface="Cambria Math" panose="02040503050406030204" pitchFamily="18" charset="0"/>
                </a:rPr>
                <a:t>=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(𝐸𝑅𝐹/𝑅𝐹)/(𝑡𝑖𝑚𝑒 𝑝𝑒𝑟 𝑦𝑒𝑎𝑟[𝑠]×𝐸𝑎𝑟𝑡ℎ^′ 𝑠 𝑠𝑢𝑟𝑓𝑎𝑐𝑒 [𝑚^2 ]×〖𝐴𝐺𝑊𝑃〗_(𝐻, 𝐶𝑂2) [(𝑊𝑚^(−2))/𝑘𝑔𝐶𝑂2])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rmi.org/insight/understanding-contrail-management-opportunities-challenges-and-insights" TargetMode="External"/><Relationship Id="rId1" Type="http://schemas.openxmlformats.org/officeDocument/2006/relationships/hyperlink" Target="https://civil.umaine.edu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https://www.nature.com/articles/s41467-022-35392-1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B16DF-54E7-4AF8-AD95-FD653DDDE03D}">
  <dimension ref="B2:C15"/>
  <sheetViews>
    <sheetView showGridLines="0" tabSelected="1" workbookViewId="0">
      <selection activeCell="B16" sqref="B16"/>
    </sheetView>
  </sheetViews>
  <sheetFormatPr defaultRowHeight="15" x14ac:dyDescent="0.25"/>
  <cols>
    <col min="2" max="2" width="9.28515625" bestFit="1" customWidth="1"/>
    <col min="3" max="3" width="10.7109375" customWidth="1"/>
  </cols>
  <sheetData>
    <row r="2" spans="2:3" x14ac:dyDescent="0.25">
      <c r="B2" t="s">
        <v>152</v>
      </c>
    </row>
    <row r="3" spans="2:3" x14ac:dyDescent="0.25">
      <c r="C3" t="s">
        <v>151</v>
      </c>
    </row>
    <row r="4" spans="2:3" x14ac:dyDescent="0.25">
      <c r="C4" t="s">
        <v>146</v>
      </c>
    </row>
    <row r="5" spans="2:3" x14ac:dyDescent="0.25">
      <c r="C5" s="193" t="s">
        <v>147</v>
      </c>
    </row>
    <row r="6" spans="2:3" x14ac:dyDescent="0.25">
      <c r="C6" s="178">
        <v>45455</v>
      </c>
    </row>
    <row r="8" spans="2:3" x14ac:dyDescent="0.25">
      <c r="B8" t="s">
        <v>143</v>
      </c>
    </row>
    <row r="9" spans="2:3" x14ac:dyDescent="0.25">
      <c r="B9" t="s">
        <v>144</v>
      </c>
    </row>
    <row r="10" spans="2:3" x14ac:dyDescent="0.25">
      <c r="B10" t="s">
        <v>145</v>
      </c>
    </row>
    <row r="11" spans="2:3" x14ac:dyDescent="0.25">
      <c r="B11" s="229" t="s">
        <v>153</v>
      </c>
    </row>
    <row r="13" spans="2:3" x14ac:dyDescent="0.25">
      <c r="B13" t="s">
        <v>148</v>
      </c>
    </row>
    <row r="15" spans="2:3" x14ac:dyDescent="0.25">
      <c r="B15" s="228"/>
    </row>
  </sheetData>
  <hyperlinks>
    <hyperlink ref="C5" r:id="rId1" display="https://civil.umaine.edu/" xr:uid="{1CF5281F-0397-472A-B59E-0DE1CE24BA1A}"/>
    <hyperlink ref="B11" r:id="rId2" display="https://rmi.org/insight/understanding-contrail-management-opportunities-challenges-and-insights" xr:uid="{81BD68FA-237E-42FC-883A-385768C273F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F161E-372C-43E6-8CD9-9CB576964759}">
  <dimension ref="B2:P37"/>
  <sheetViews>
    <sheetView showGridLines="0" zoomScaleNormal="100" workbookViewId="0">
      <selection activeCell="D4" sqref="D4:E4"/>
    </sheetView>
  </sheetViews>
  <sheetFormatPr defaultRowHeight="15" x14ac:dyDescent="0.25"/>
  <cols>
    <col min="1" max="1" width="23.85546875" customWidth="1"/>
    <col min="2" max="2" width="11.7109375" customWidth="1"/>
    <col min="3" max="3" width="10.28515625" customWidth="1"/>
    <col min="4" max="4" width="16.5703125" customWidth="1"/>
    <col min="5" max="15" width="11.140625" customWidth="1"/>
    <col min="16" max="16" width="21.28515625" customWidth="1"/>
  </cols>
  <sheetData>
    <row r="2" spans="2:16" s="50" customFormat="1" ht="21" customHeight="1" x14ac:dyDescent="0.25">
      <c r="B2" s="219" t="s">
        <v>131</v>
      </c>
      <c r="C2" s="220"/>
      <c r="D2" s="220"/>
      <c r="E2" s="221"/>
      <c r="F2" s="129"/>
      <c r="G2" s="126" t="s">
        <v>113</v>
      </c>
      <c r="H2" s="127"/>
      <c r="I2" s="127"/>
      <c r="J2" s="127"/>
      <c r="K2" s="128"/>
      <c r="L2" s="129"/>
      <c r="M2" s="126" t="s">
        <v>133</v>
      </c>
      <c r="N2" s="128"/>
    </row>
    <row r="3" spans="2:16" ht="53.45" customHeight="1" x14ac:dyDescent="0.25">
      <c r="B3" s="2"/>
      <c r="C3" s="85"/>
      <c r="D3" s="110" t="s">
        <v>114</v>
      </c>
      <c r="E3" s="111"/>
      <c r="G3" s="2"/>
      <c r="H3" s="118" t="s">
        <v>97</v>
      </c>
      <c r="I3" s="122" t="s">
        <v>96</v>
      </c>
      <c r="J3" s="122" t="s">
        <v>106</v>
      </c>
      <c r="K3" s="89" t="s">
        <v>101</v>
      </c>
      <c r="M3" s="122" t="s">
        <v>102</v>
      </c>
      <c r="N3" s="89" t="s">
        <v>105</v>
      </c>
    </row>
    <row r="4" spans="2:16" x14ac:dyDescent="0.25">
      <c r="B4" s="2"/>
      <c r="C4" s="85" t="s">
        <v>115</v>
      </c>
      <c r="D4" s="222">
        <v>100</v>
      </c>
      <c r="E4" s="223"/>
      <c r="G4" s="30" t="s">
        <v>107</v>
      </c>
      <c r="H4" s="119">
        <v>0.42</v>
      </c>
      <c r="I4" s="123">
        <f>INDEX('Background Data'!$D$8:$D$12,MATCH(D5,'Background Data'!$C$8:$C$12,0))</f>
        <v>4.1194409148665816</v>
      </c>
      <c r="J4" s="123">
        <f>INDEX('Background Data'!$C$71:$D$71,MATCH("GWP"&amp;D4,'Background Data'!$C$67:$D$67,0))</f>
        <v>5.1977957553458092</v>
      </c>
      <c r="K4" s="83">
        <f>INDEX('Background Data'!$F$109:F$111,MATCH($D$4,'Background Data'!$B$109:$B$111,0))</f>
        <v>8.9499999999999997E-14</v>
      </c>
      <c r="M4" s="152"/>
      <c r="N4" s="18"/>
    </row>
    <row r="5" spans="2:16" x14ac:dyDescent="0.25">
      <c r="B5" s="2"/>
      <c r="C5" s="85" t="s">
        <v>116</v>
      </c>
      <c r="D5" s="222" t="s">
        <v>25</v>
      </c>
      <c r="E5" s="223"/>
      <c r="G5" s="30" t="s">
        <v>112</v>
      </c>
      <c r="H5" s="120"/>
      <c r="I5" s="124"/>
      <c r="J5" s="124"/>
      <c r="K5" s="109"/>
      <c r="M5" s="152"/>
      <c r="N5" s="18"/>
    </row>
    <row r="6" spans="2:16" x14ac:dyDescent="0.25">
      <c r="B6" s="3"/>
      <c r="C6" s="17"/>
      <c r="D6" s="17"/>
      <c r="E6" s="21"/>
      <c r="G6" s="34" t="s">
        <v>108</v>
      </c>
      <c r="H6" s="121">
        <f>IF(ISBLANK(H5),H4,H5)</f>
        <v>0.42</v>
      </c>
      <c r="I6" s="125">
        <f>IF(ISBLANK(I5),I4,I5)</f>
        <v>4.1194409148665816</v>
      </c>
      <c r="J6" s="125">
        <f>IF(ISBLANK(J5),J4,J5)</f>
        <v>5.1977957553458092</v>
      </c>
      <c r="K6" s="84">
        <f>IF(ISBLANK(K5),K4,K5)</f>
        <v>8.9499999999999997E-14</v>
      </c>
      <c r="M6" s="153">
        <f>H6/('Background Data'!D104*'Background Data'!D105*'GWP Decision Matrix'!K6)</f>
        <v>2.9171873700262794E-10</v>
      </c>
      <c r="N6" s="154">
        <f>I6*J6</f>
        <v>21.412012501691375</v>
      </c>
    </row>
    <row r="7" spans="2:16" ht="15.75" thickBot="1" x14ac:dyDescent="0.3"/>
    <row r="8" spans="2:16" ht="17.45" customHeight="1" x14ac:dyDescent="0.25">
      <c r="B8" s="224" t="s">
        <v>4</v>
      </c>
      <c r="C8" s="225"/>
      <c r="D8" s="225"/>
      <c r="E8" s="226"/>
      <c r="F8" s="227" t="str">
        <f>"Savings from Avoiding Contrails (GWP"&amp;D4&amp;", kg CO2e per km flight)"</f>
        <v>Savings from Avoiding Contrails (GWP100, kg CO2e per km flight)</v>
      </c>
      <c r="G8" s="227"/>
      <c r="H8" s="227"/>
      <c r="I8" s="227"/>
      <c r="J8" s="227"/>
      <c r="K8" s="227"/>
      <c r="L8" s="227"/>
      <c r="M8" s="227"/>
      <c r="N8" s="227"/>
      <c r="O8" s="227"/>
      <c r="P8" s="214" t="s">
        <v>110</v>
      </c>
    </row>
    <row r="9" spans="2:16" ht="28.9" customHeight="1" x14ac:dyDescent="0.25">
      <c r="B9" s="103" t="s">
        <v>109</v>
      </c>
      <c r="C9" s="87" t="s">
        <v>139</v>
      </c>
      <c r="D9" s="88" t="s">
        <v>138</v>
      </c>
      <c r="E9" s="104" t="s">
        <v>137</v>
      </c>
      <c r="F9" s="217" t="s">
        <v>117</v>
      </c>
      <c r="G9" s="217"/>
      <c r="H9" s="217"/>
      <c r="I9" s="217"/>
      <c r="J9" s="217"/>
      <c r="K9" s="217"/>
      <c r="L9" s="217"/>
      <c r="M9" s="217"/>
      <c r="N9" s="217"/>
      <c r="O9" s="217"/>
      <c r="P9" s="215"/>
    </row>
    <row r="10" spans="2:16" x14ac:dyDescent="0.25">
      <c r="B10" s="56"/>
      <c r="C10" s="175" t="s">
        <v>134</v>
      </c>
      <c r="D10" s="176" t="s">
        <v>135</v>
      </c>
      <c r="E10" s="177" t="s">
        <v>136</v>
      </c>
      <c r="F10" s="218"/>
      <c r="G10" s="218"/>
      <c r="H10" s="218"/>
      <c r="I10" s="218"/>
      <c r="J10" s="218"/>
      <c r="K10" s="218"/>
      <c r="L10" s="218"/>
      <c r="M10" s="218"/>
      <c r="N10" s="218"/>
      <c r="O10" s="218"/>
      <c r="P10" s="216"/>
    </row>
    <row r="11" spans="2:16" ht="14.45" customHeight="1" x14ac:dyDescent="0.25">
      <c r="B11" s="201" t="s">
        <v>18</v>
      </c>
      <c r="C11" s="11">
        <v>99</v>
      </c>
      <c r="D11" s="113">
        <f>_xlfn.XLOOKUP(C11,'Background Data'!$F$80:$F$100,'Background Data'!$G$80:$G$100)</f>
        <v>3140000000</v>
      </c>
      <c r="E11" s="167">
        <f t="shared" ref="E11:E32" si="0">D11*1000*$M$6</f>
        <v>915.9968341882518</v>
      </c>
      <c r="F11" s="155">
        <f t="shared" ref="F11:O26" si="1">$E11-F$33</f>
        <v>915.9968341882518</v>
      </c>
      <c r="G11" s="155">
        <f t="shared" si="1"/>
        <v>915.9946929870016</v>
      </c>
      <c r="H11" s="155">
        <f t="shared" si="1"/>
        <v>915.98612818200093</v>
      </c>
      <c r="I11" s="155">
        <f t="shared" si="1"/>
        <v>915.97542217575005</v>
      </c>
      <c r="J11" s="156">
        <f t="shared" si="1"/>
        <v>915.88977412574332</v>
      </c>
      <c r="K11" s="155">
        <f t="shared" si="1"/>
        <v>915.78271406323483</v>
      </c>
      <c r="L11" s="157">
        <f t="shared" si="1"/>
        <v>914.92623356316722</v>
      </c>
      <c r="M11" s="156">
        <f t="shared" si="1"/>
        <v>913.85563293808264</v>
      </c>
      <c r="N11" s="157">
        <f t="shared" si="1"/>
        <v>905.29082793740611</v>
      </c>
      <c r="O11" s="155">
        <f t="shared" si="1"/>
        <v>894.58482168656042</v>
      </c>
      <c r="P11" s="202" t="s">
        <v>140</v>
      </c>
    </row>
    <row r="12" spans="2:16" x14ac:dyDescent="0.25">
      <c r="B12" s="201"/>
      <c r="C12" s="12">
        <v>95</v>
      </c>
      <c r="D12" s="114">
        <f>_xlfn.XLOOKUP(C12,'Background Data'!$F$80:$F$100,'Background Data'!$G$80:$G$100)</f>
        <v>1630000000</v>
      </c>
      <c r="E12" s="168">
        <f t="shared" si="0"/>
        <v>475.50154131428354</v>
      </c>
      <c r="F12" s="158">
        <f t="shared" si="1"/>
        <v>475.50154131428354</v>
      </c>
      <c r="G12" s="158">
        <f t="shared" si="1"/>
        <v>475.49940011303335</v>
      </c>
      <c r="H12" s="158">
        <f t="shared" si="1"/>
        <v>475.49083530803267</v>
      </c>
      <c r="I12" s="158">
        <f t="shared" si="1"/>
        <v>475.48012930178186</v>
      </c>
      <c r="J12" s="159">
        <f t="shared" si="1"/>
        <v>475.39448125177506</v>
      </c>
      <c r="K12" s="158">
        <f t="shared" si="1"/>
        <v>475.28742118926664</v>
      </c>
      <c r="L12" s="160">
        <f t="shared" si="1"/>
        <v>474.43094068919896</v>
      </c>
      <c r="M12" s="159">
        <f t="shared" si="1"/>
        <v>473.36034006411438</v>
      </c>
      <c r="N12" s="160">
        <f t="shared" si="1"/>
        <v>464.79553506343785</v>
      </c>
      <c r="O12" s="158">
        <f t="shared" si="1"/>
        <v>454.08952881259216</v>
      </c>
      <c r="P12" s="203"/>
    </row>
    <row r="13" spans="2:16" x14ac:dyDescent="0.25">
      <c r="B13" s="201"/>
      <c r="C13" s="12">
        <v>90</v>
      </c>
      <c r="D13" s="114">
        <f>_xlfn.XLOOKUP(C13,'Background Data'!$F$80:$F$100,'Background Data'!$G$80:$G$100)</f>
        <v>1010000000</v>
      </c>
      <c r="E13" s="168">
        <f t="shared" si="0"/>
        <v>294.63592437265424</v>
      </c>
      <c r="F13" s="158">
        <f t="shared" si="1"/>
        <v>294.63592437265424</v>
      </c>
      <c r="G13" s="158">
        <f t="shared" si="1"/>
        <v>294.63378317140405</v>
      </c>
      <c r="H13" s="158">
        <f t="shared" si="1"/>
        <v>294.62521836640337</v>
      </c>
      <c r="I13" s="158">
        <f t="shared" si="1"/>
        <v>294.61451236015256</v>
      </c>
      <c r="J13" s="159">
        <f t="shared" si="1"/>
        <v>294.52886431014576</v>
      </c>
      <c r="K13" s="158">
        <f t="shared" si="1"/>
        <v>294.42180424763734</v>
      </c>
      <c r="L13" s="160">
        <f t="shared" si="1"/>
        <v>293.56532374756966</v>
      </c>
      <c r="M13" s="159">
        <f t="shared" si="1"/>
        <v>292.49472312248508</v>
      </c>
      <c r="N13" s="160">
        <f t="shared" si="1"/>
        <v>283.92991812180856</v>
      </c>
      <c r="O13" s="158">
        <f t="shared" si="1"/>
        <v>273.22391187096287</v>
      </c>
      <c r="P13" s="203"/>
    </row>
    <row r="14" spans="2:16" x14ac:dyDescent="0.25">
      <c r="B14" s="201"/>
      <c r="C14" s="13">
        <v>85</v>
      </c>
      <c r="D14" s="115">
        <f>_xlfn.XLOOKUP(C14,'Background Data'!$F$80:$F$100,'Background Data'!$G$80:$G$100)</f>
        <v>672000000</v>
      </c>
      <c r="E14" s="169">
        <f t="shared" si="0"/>
        <v>196.03499126576597</v>
      </c>
      <c r="F14" s="161">
        <f t="shared" si="1"/>
        <v>196.03499126576597</v>
      </c>
      <c r="G14" s="161">
        <f t="shared" si="1"/>
        <v>196.0328500645158</v>
      </c>
      <c r="H14" s="161">
        <f t="shared" si="1"/>
        <v>196.02428525951512</v>
      </c>
      <c r="I14" s="161">
        <f t="shared" si="1"/>
        <v>196.01357925326428</v>
      </c>
      <c r="J14" s="162">
        <f t="shared" si="1"/>
        <v>195.92793120325751</v>
      </c>
      <c r="K14" s="161">
        <f t="shared" si="1"/>
        <v>195.82087114074906</v>
      </c>
      <c r="L14" s="163">
        <f t="shared" si="1"/>
        <v>194.96439064068139</v>
      </c>
      <c r="M14" s="162">
        <f t="shared" si="1"/>
        <v>193.89379001559684</v>
      </c>
      <c r="N14" s="163">
        <f t="shared" si="1"/>
        <v>185.32898501492028</v>
      </c>
      <c r="O14" s="161">
        <f t="shared" si="1"/>
        <v>174.62297876407459</v>
      </c>
      <c r="P14" s="203"/>
    </row>
    <row r="15" spans="2:16" x14ac:dyDescent="0.25">
      <c r="B15" s="204" t="s">
        <v>20</v>
      </c>
      <c r="C15" s="11">
        <v>80</v>
      </c>
      <c r="D15" s="113">
        <f>_xlfn.XLOOKUP(C15,'Background Data'!$F$80:$F$100,'Background Data'!$G$80:$G$100)</f>
        <v>457000000</v>
      </c>
      <c r="E15" s="167">
        <f t="shared" si="0"/>
        <v>133.31546281020098</v>
      </c>
      <c r="F15" s="155">
        <f t="shared" si="1"/>
        <v>133.31546281020098</v>
      </c>
      <c r="G15" s="155">
        <f t="shared" si="1"/>
        <v>133.31332160895082</v>
      </c>
      <c r="H15" s="155">
        <f t="shared" si="1"/>
        <v>133.30475680395014</v>
      </c>
      <c r="I15" s="155">
        <f t="shared" si="1"/>
        <v>133.2940507976993</v>
      </c>
      <c r="J15" s="156">
        <f t="shared" si="1"/>
        <v>133.20840274769253</v>
      </c>
      <c r="K15" s="155">
        <f t="shared" si="1"/>
        <v>133.10134268518408</v>
      </c>
      <c r="L15" s="157">
        <f t="shared" si="1"/>
        <v>132.2448621851164</v>
      </c>
      <c r="M15" s="156">
        <f t="shared" si="1"/>
        <v>131.17426156003185</v>
      </c>
      <c r="N15" s="157">
        <f t="shared" si="1"/>
        <v>122.60945655935529</v>
      </c>
      <c r="O15" s="155">
        <f t="shared" si="1"/>
        <v>111.9034503085096</v>
      </c>
      <c r="P15" s="203"/>
    </row>
    <row r="16" spans="2:16" x14ac:dyDescent="0.25">
      <c r="B16" s="204"/>
      <c r="C16" s="12">
        <v>75</v>
      </c>
      <c r="D16" s="114">
        <f>_xlfn.XLOOKUP(C16,'Background Data'!$F$80:$F$100,'Background Data'!$G$80:$G$100)</f>
        <v>307000000</v>
      </c>
      <c r="E16" s="168">
        <f t="shared" si="0"/>
        <v>89.557652259806773</v>
      </c>
      <c r="F16" s="158">
        <f t="shared" si="1"/>
        <v>89.557652259806773</v>
      </c>
      <c r="G16" s="158">
        <f t="shared" si="1"/>
        <v>89.555511058556604</v>
      </c>
      <c r="H16" s="158">
        <f t="shared" si="1"/>
        <v>89.54694625355593</v>
      </c>
      <c r="I16" s="158">
        <f t="shared" si="1"/>
        <v>89.536240247305088</v>
      </c>
      <c r="J16" s="159">
        <f t="shared" si="1"/>
        <v>89.45059219729832</v>
      </c>
      <c r="K16" s="158">
        <f t="shared" si="1"/>
        <v>89.343532134789854</v>
      </c>
      <c r="L16" s="160">
        <f t="shared" si="1"/>
        <v>88.487051634722206</v>
      </c>
      <c r="M16" s="159">
        <f t="shared" si="1"/>
        <v>87.41645100963764</v>
      </c>
      <c r="N16" s="160">
        <f t="shared" si="1"/>
        <v>78.851646008961083</v>
      </c>
      <c r="O16" s="158">
        <f t="shared" si="1"/>
        <v>68.145639758115394</v>
      </c>
      <c r="P16" s="203"/>
    </row>
    <row r="17" spans="2:16" x14ac:dyDescent="0.25">
      <c r="B17" s="204"/>
      <c r="C17" s="12">
        <v>70</v>
      </c>
      <c r="D17" s="114">
        <f>_xlfn.XLOOKUP(C17,'Background Data'!$F$80:$F$100,'Background Data'!$G$80:$G$100)</f>
        <v>200000000</v>
      </c>
      <c r="E17" s="168">
        <f t="shared" si="0"/>
        <v>58.343747400525586</v>
      </c>
      <c r="F17" s="158">
        <f t="shared" si="1"/>
        <v>58.343747400525586</v>
      </c>
      <c r="G17" s="158">
        <f t="shared" si="1"/>
        <v>58.341606199275418</v>
      </c>
      <c r="H17" s="158">
        <f t="shared" si="1"/>
        <v>58.333041394274744</v>
      </c>
      <c r="I17" s="158">
        <f t="shared" si="1"/>
        <v>58.322335388023895</v>
      </c>
      <c r="J17" s="159">
        <f t="shared" si="1"/>
        <v>58.236687338017127</v>
      </c>
      <c r="K17" s="158">
        <f t="shared" si="1"/>
        <v>58.129627275508675</v>
      </c>
      <c r="L17" s="160">
        <f t="shared" si="1"/>
        <v>57.27314677544102</v>
      </c>
      <c r="M17" s="159">
        <f t="shared" si="1"/>
        <v>56.202546150356447</v>
      </c>
      <c r="N17" s="160">
        <f t="shared" si="1"/>
        <v>47.637741149679897</v>
      </c>
      <c r="O17" s="158">
        <f t="shared" si="1"/>
        <v>36.931734898834208</v>
      </c>
      <c r="P17" s="203"/>
    </row>
    <row r="18" spans="2:16" x14ac:dyDescent="0.25">
      <c r="B18" s="204"/>
      <c r="C18" s="12">
        <v>65</v>
      </c>
      <c r="D18" s="114">
        <f>_xlfn.XLOOKUP(C18,'Background Data'!$F$80:$F$100,'Background Data'!$G$80:$G$100)</f>
        <v>123000000</v>
      </c>
      <c r="E18" s="168">
        <f t="shared" si="0"/>
        <v>35.881404651323237</v>
      </c>
      <c r="F18" s="158">
        <f t="shared" si="1"/>
        <v>35.881404651323237</v>
      </c>
      <c r="G18" s="158">
        <f t="shared" si="1"/>
        <v>35.879263450073068</v>
      </c>
      <c r="H18" s="158">
        <f t="shared" si="1"/>
        <v>35.870698645072395</v>
      </c>
      <c r="I18" s="158">
        <f t="shared" si="1"/>
        <v>35.859992638821545</v>
      </c>
      <c r="J18" s="159">
        <f t="shared" si="1"/>
        <v>35.774344588814778</v>
      </c>
      <c r="K18" s="158">
        <f t="shared" si="1"/>
        <v>35.667284526306325</v>
      </c>
      <c r="L18" s="160">
        <f t="shared" si="1"/>
        <v>34.810804026238671</v>
      </c>
      <c r="M18" s="159">
        <f t="shared" si="1"/>
        <v>33.740203401154098</v>
      </c>
      <c r="N18" s="160">
        <f t="shared" si="1"/>
        <v>25.175398400477548</v>
      </c>
      <c r="O18" s="158">
        <f t="shared" si="1"/>
        <v>14.469392149631862</v>
      </c>
      <c r="P18" s="205" t="s">
        <v>141</v>
      </c>
    </row>
    <row r="19" spans="2:16" ht="14.45" customHeight="1" x14ac:dyDescent="0.25">
      <c r="B19" s="204"/>
      <c r="C19" s="12">
        <v>60</v>
      </c>
      <c r="D19" s="114">
        <f>_xlfn.XLOOKUP(C19,'Background Data'!$F$80:$F$100,'Background Data'!$G$80:$G$100)</f>
        <v>70600000</v>
      </c>
      <c r="E19" s="168">
        <f t="shared" si="0"/>
        <v>20.595342832385533</v>
      </c>
      <c r="F19" s="158">
        <f t="shared" si="1"/>
        <v>20.595342832385533</v>
      </c>
      <c r="G19" s="158">
        <f t="shared" si="1"/>
        <v>20.593201631135365</v>
      </c>
      <c r="H19" s="158">
        <f t="shared" si="1"/>
        <v>20.584636826134687</v>
      </c>
      <c r="I19" s="158">
        <f t="shared" si="1"/>
        <v>20.573930819883842</v>
      </c>
      <c r="J19" s="159">
        <f t="shared" si="1"/>
        <v>20.488282769877078</v>
      </c>
      <c r="K19" s="158">
        <f t="shared" si="1"/>
        <v>20.381222707368618</v>
      </c>
      <c r="L19" s="160">
        <f t="shared" si="1"/>
        <v>19.524742207300964</v>
      </c>
      <c r="M19" s="159">
        <f t="shared" si="1"/>
        <v>18.454141582216394</v>
      </c>
      <c r="N19" s="160">
        <f t="shared" si="1"/>
        <v>9.8893365815398457</v>
      </c>
      <c r="O19" s="158">
        <f t="shared" si="1"/>
        <v>-0.81666966930584195</v>
      </c>
      <c r="P19" s="205"/>
    </row>
    <row r="20" spans="2:16" x14ac:dyDescent="0.25">
      <c r="B20" s="204"/>
      <c r="C20" s="13">
        <v>55</v>
      </c>
      <c r="D20" s="115">
        <f>_xlfn.XLOOKUP(C20,'Background Data'!$F$80:$F$100,'Background Data'!$G$80:$G$100)</f>
        <v>37200000</v>
      </c>
      <c r="E20" s="169">
        <f t="shared" si="0"/>
        <v>10.851937016497759</v>
      </c>
      <c r="F20" s="161">
        <f t="shared" si="1"/>
        <v>10.851937016497759</v>
      </c>
      <c r="G20" s="161">
        <f t="shared" si="1"/>
        <v>10.849795815247591</v>
      </c>
      <c r="H20" s="161">
        <f t="shared" si="1"/>
        <v>10.841231010246913</v>
      </c>
      <c r="I20" s="161">
        <f t="shared" si="1"/>
        <v>10.830525003996067</v>
      </c>
      <c r="J20" s="162">
        <f t="shared" si="1"/>
        <v>10.744876953989301</v>
      </c>
      <c r="K20" s="161">
        <f t="shared" si="1"/>
        <v>10.637816891480846</v>
      </c>
      <c r="L20" s="163">
        <f t="shared" si="1"/>
        <v>9.7813363914131912</v>
      </c>
      <c r="M20" s="162">
        <f t="shared" si="1"/>
        <v>8.7107357663286216</v>
      </c>
      <c r="N20" s="163">
        <f t="shared" si="1"/>
        <v>0.14593076565207141</v>
      </c>
      <c r="O20" s="161">
        <f t="shared" si="1"/>
        <v>-10.560075485193616</v>
      </c>
      <c r="P20" s="205"/>
    </row>
    <row r="21" spans="2:16" x14ac:dyDescent="0.25">
      <c r="B21" s="207" t="s">
        <v>16</v>
      </c>
      <c r="C21" s="11">
        <v>50</v>
      </c>
      <c r="D21" s="113">
        <f>_xlfn.XLOOKUP(C21,'Background Data'!$F$80:$F$100,'Background Data'!$G$80:$G$100)</f>
        <v>17400000</v>
      </c>
      <c r="E21" s="167">
        <f t="shared" si="0"/>
        <v>5.0759060238457261</v>
      </c>
      <c r="F21" s="155">
        <f t="shared" si="1"/>
        <v>5.0759060238457261</v>
      </c>
      <c r="G21" s="155">
        <f t="shared" si="1"/>
        <v>5.0737648225955567</v>
      </c>
      <c r="H21" s="155">
        <f t="shared" si="1"/>
        <v>5.0652000175948801</v>
      </c>
      <c r="I21" s="155">
        <f t="shared" si="1"/>
        <v>5.0544940113440351</v>
      </c>
      <c r="J21" s="156">
        <f t="shared" si="1"/>
        <v>4.9688459613372693</v>
      </c>
      <c r="K21" s="155">
        <f t="shared" si="1"/>
        <v>4.8617858988288125</v>
      </c>
      <c r="L21" s="157">
        <f t="shared" si="1"/>
        <v>4.0053053987611573</v>
      </c>
      <c r="M21" s="156">
        <f t="shared" si="1"/>
        <v>2.9347047736765886</v>
      </c>
      <c r="N21" s="157">
        <f t="shared" si="1"/>
        <v>-5.6301002269999616</v>
      </c>
      <c r="O21" s="155">
        <f t="shared" si="1"/>
        <v>-16.33610647784565</v>
      </c>
      <c r="P21" s="205"/>
    </row>
    <row r="22" spans="2:16" x14ac:dyDescent="0.25">
      <c r="B22" s="207"/>
      <c r="C22" s="12">
        <v>45</v>
      </c>
      <c r="D22" s="114">
        <f>_xlfn.XLOOKUP(C22,'Background Data'!$F$80:$F$100,'Background Data'!$G$80:$G$100)</f>
        <v>6310000</v>
      </c>
      <c r="E22" s="168">
        <f t="shared" si="0"/>
        <v>1.8407452304865823</v>
      </c>
      <c r="F22" s="158">
        <f t="shared" si="1"/>
        <v>1.8407452304865823</v>
      </c>
      <c r="G22" s="158">
        <f t="shared" si="1"/>
        <v>1.8386040292364132</v>
      </c>
      <c r="H22" s="158">
        <f t="shared" si="1"/>
        <v>1.8300392242357366</v>
      </c>
      <c r="I22" s="158">
        <f t="shared" si="1"/>
        <v>1.8193332179848909</v>
      </c>
      <c r="J22" s="159">
        <f t="shared" si="1"/>
        <v>1.7336851679781256</v>
      </c>
      <c r="K22" s="158">
        <f t="shared" si="1"/>
        <v>1.6266251054696685</v>
      </c>
      <c r="L22" s="160">
        <f t="shared" si="1"/>
        <v>0.77014460540201357</v>
      </c>
      <c r="M22" s="159">
        <f t="shared" si="1"/>
        <v>-0.3004560196825552</v>
      </c>
      <c r="N22" s="160">
        <f t="shared" si="1"/>
        <v>-8.8652610203591049</v>
      </c>
      <c r="O22" s="158">
        <f t="shared" si="1"/>
        <v>-19.571267271204793</v>
      </c>
      <c r="P22" s="205"/>
    </row>
    <row r="23" spans="2:16" x14ac:dyDescent="0.25">
      <c r="B23" s="207"/>
      <c r="C23" s="13">
        <v>40</v>
      </c>
      <c r="D23" s="115">
        <f>_xlfn.XLOOKUP(C23,'Background Data'!$F$80:$F$100,'Background Data'!$G$80:$G$100)</f>
        <v>905000.00000000012</v>
      </c>
      <c r="E23" s="169">
        <f t="shared" si="0"/>
        <v>0.26400545698737832</v>
      </c>
      <c r="F23" s="161">
        <f t="shared" si="1"/>
        <v>0.26400545698737832</v>
      </c>
      <c r="G23" s="161">
        <f t="shared" si="1"/>
        <v>0.26186425573720917</v>
      </c>
      <c r="H23" s="161">
        <f t="shared" si="1"/>
        <v>0.25329945073653265</v>
      </c>
      <c r="I23" s="161">
        <f t="shared" si="1"/>
        <v>0.24259344448568693</v>
      </c>
      <c r="J23" s="162">
        <f t="shared" si="1"/>
        <v>0.15694539447892145</v>
      </c>
      <c r="K23" s="161">
        <f t="shared" si="1"/>
        <v>4.9885331970464575E-2</v>
      </c>
      <c r="L23" s="163">
        <f t="shared" si="1"/>
        <v>-0.80659516809719045</v>
      </c>
      <c r="M23" s="162">
        <f t="shared" si="1"/>
        <v>-1.8771957931817593</v>
      </c>
      <c r="N23" s="163">
        <f t="shared" si="1"/>
        <v>-10.442000793858309</v>
      </c>
      <c r="O23" s="161">
        <f t="shared" si="1"/>
        <v>-21.148007044703999</v>
      </c>
      <c r="P23" s="205"/>
    </row>
    <row r="24" spans="2:16" x14ac:dyDescent="0.25">
      <c r="B24" s="130" t="s">
        <v>21</v>
      </c>
      <c r="C24" s="12"/>
      <c r="D24" s="113">
        <f>D23/1000</f>
        <v>905.00000000000011</v>
      </c>
      <c r="E24" s="167">
        <f t="shared" si="0"/>
        <v>2.6400545698737832E-4</v>
      </c>
      <c r="F24" s="158">
        <f t="shared" si="1"/>
        <v>2.6400545698737832E-4</v>
      </c>
      <c r="G24" s="158">
        <f t="shared" si="1"/>
        <v>-1.8771957931817593E-3</v>
      </c>
      <c r="H24" s="158">
        <f t="shared" si="1"/>
        <v>-1.0442000793858311E-2</v>
      </c>
      <c r="I24" s="158">
        <f t="shared" si="1"/>
        <v>-2.1148007044703997E-2</v>
      </c>
      <c r="J24" s="159">
        <f t="shared" si="1"/>
        <v>-0.1067960570514695</v>
      </c>
      <c r="K24" s="158">
        <f t="shared" si="1"/>
        <v>-0.21385611955992637</v>
      </c>
      <c r="L24" s="160">
        <f t="shared" si="1"/>
        <v>-1.0703366196275814</v>
      </c>
      <c r="M24" s="159">
        <f t="shared" si="1"/>
        <v>-2.1409372447121502</v>
      </c>
      <c r="N24" s="160">
        <f t="shared" si="1"/>
        <v>-10.7057422453887</v>
      </c>
      <c r="O24" s="158">
        <f t="shared" si="1"/>
        <v>-21.411748496234388</v>
      </c>
      <c r="P24" s="206"/>
    </row>
    <row r="25" spans="2:16" x14ac:dyDescent="0.25">
      <c r="B25" s="208" t="s">
        <v>19</v>
      </c>
      <c r="C25" s="11">
        <v>35</v>
      </c>
      <c r="D25" s="113">
        <f>_xlfn.XLOOKUP(C25,'Background Data'!$F$80:$F$100,'Background Data'!$G$80:$G$100)</f>
        <v>-274000</v>
      </c>
      <c r="E25" s="167">
        <f t="shared" si="0"/>
        <v>-7.9930933938720056E-2</v>
      </c>
      <c r="F25" s="155">
        <f t="shared" si="1"/>
        <v>-7.9930933938720056E-2</v>
      </c>
      <c r="G25" s="155">
        <f t="shared" si="1"/>
        <v>-8.20721351888892E-2</v>
      </c>
      <c r="H25" s="155">
        <f t="shared" si="1"/>
        <v>-9.0636940189565751E-2</v>
      </c>
      <c r="I25" s="155">
        <f t="shared" si="1"/>
        <v>-0.10134294644041143</v>
      </c>
      <c r="J25" s="156">
        <f t="shared" si="1"/>
        <v>-0.18699099644717693</v>
      </c>
      <c r="K25" s="155">
        <f t="shared" si="1"/>
        <v>-0.29405105895563377</v>
      </c>
      <c r="L25" s="157">
        <f t="shared" si="1"/>
        <v>-1.1505315590232887</v>
      </c>
      <c r="M25" s="156">
        <f t="shared" si="1"/>
        <v>-2.2211321841078577</v>
      </c>
      <c r="N25" s="157">
        <f t="shared" si="1"/>
        <v>-10.785937184784407</v>
      </c>
      <c r="O25" s="155">
        <f t="shared" si="1"/>
        <v>-21.491943435630095</v>
      </c>
      <c r="P25" s="211" t="s">
        <v>142</v>
      </c>
    </row>
    <row r="26" spans="2:16" x14ac:dyDescent="0.25">
      <c r="B26" s="209"/>
      <c r="C26" s="12">
        <v>30</v>
      </c>
      <c r="D26" s="114">
        <f>_xlfn.XLOOKUP(C26,'Background Data'!$F$80:$F$100,'Background Data'!$G$80:$G$100)</f>
        <v>-1470000</v>
      </c>
      <c r="E26" s="168">
        <f t="shared" si="0"/>
        <v>-0.42882654339386306</v>
      </c>
      <c r="F26" s="158">
        <f t="shared" si="1"/>
        <v>-0.42882654339386306</v>
      </c>
      <c r="G26" s="158">
        <f t="shared" si="1"/>
        <v>-0.4309677446440322</v>
      </c>
      <c r="H26" s="158">
        <f t="shared" si="1"/>
        <v>-0.43953254964470873</v>
      </c>
      <c r="I26" s="158">
        <f t="shared" si="1"/>
        <v>-0.45023855589555445</v>
      </c>
      <c r="J26" s="159">
        <f t="shared" si="1"/>
        <v>-0.53588660590231996</v>
      </c>
      <c r="K26" s="158">
        <f t="shared" si="1"/>
        <v>-0.64294666841077674</v>
      </c>
      <c r="L26" s="160">
        <f t="shared" si="1"/>
        <v>-1.4994271684784319</v>
      </c>
      <c r="M26" s="159">
        <f t="shared" si="1"/>
        <v>-2.5700277935630007</v>
      </c>
      <c r="N26" s="160">
        <f t="shared" si="1"/>
        <v>-11.13483279423955</v>
      </c>
      <c r="O26" s="158">
        <f t="shared" si="1"/>
        <v>-21.840839045085239</v>
      </c>
      <c r="P26" s="212"/>
    </row>
    <row r="27" spans="2:16" x14ac:dyDescent="0.25">
      <c r="B27" s="209"/>
      <c r="C27" s="12">
        <v>25</v>
      </c>
      <c r="D27" s="114">
        <f>_xlfn.XLOOKUP(C27,'Background Data'!$F$80:$F$100,'Background Data'!$G$80:$G$100)</f>
        <v>-2690000</v>
      </c>
      <c r="E27" s="168">
        <f t="shared" si="0"/>
        <v>-0.78472340253706918</v>
      </c>
      <c r="F27" s="158">
        <f t="shared" ref="F27:O32" si="2">$E27-F$33</f>
        <v>-0.78472340253706918</v>
      </c>
      <c r="G27" s="158">
        <f t="shared" si="2"/>
        <v>-0.78686460378723833</v>
      </c>
      <c r="H27" s="158">
        <f t="shared" si="2"/>
        <v>-0.7954294087879149</v>
      </c>
      <c r="I27" s="158">
        <f t="shared" si="2"/>
        <v>-0.80613541503876052</v>
      </c>
      <c r="J27" s="159">
        <f t="shared" si="2"/>
        <v>-0.89178346504552608</v>
      </c>
      <c r="K27" s="158">
        <f t="shared" si="2"/>
        <v>-0.99884352755398287</v>
      </c>
      <c r="L27" s="160">
        <f t="shared" si="2"/>
        <v>-1.8553240276216378</v>
      </c>
      <c r="M27" s="159">
        <f t="shared" si="2"/>
        <v>-2.9259246527062066</v>
      </c>
      <c r="N27" s="160">
        <f t="shared" si="2"/>
        <v>-11.490729653382758</v>
      </c>
      <c r="O27" s="158">
        <f t="shared" si="2"/>
        <v>-22.196735904228444</v>
      </c>
      <c r="P27" s="212"/>
    </row>
    <row r="28" spans="2:16" x14ac:dyDescent="0.25">
      <c r="B28" s="209"/>
      <c r="C28" s="12">
        <v>20</v>
      </c>
      <c r="D28" s="114">
        <f>_xlfn.XLOOKUP(C28,'Background Data'!$F$80:$F$100,'Background Data'!$G$80:$G$100)</f>
        <v>-7780000</v>
      </c>
      <c r="E28" s="168">
        <f t="shared" si="0"/>
        <v>-2.2695717738804455</v>
      </c>
      <c r="F28" s="158">
        <f t="shared" si="2"/>
        <v>-2.2695717738804455</v>
      </c>
      <c r="G28" s="158">
        <f t="shared" si="2"/>
        <v>-2.2717129751306144</v>
      </c>
      <c r="H28" s="158">
        <f t="shared" si="2"/>
        <v>-2.280277780131291</v>
      </c>
      <c r="I28" s="158">
        <f t="shared" si="2"/>
        <v>-2.290983786382137</v>
      </c>
      <c r="J28" s="159">
        <f t="shared" si="2"/>
        <v>-2.3766318363889023</v>
      </c>
      <c r="K28" s="158">
        <f t="shared" si="2"/>
        <v>-2.4836918988973591</v>
      </c>
      <c r="L28" s="160">
        <f t="shared" si="2"/>
        <v>-3.3401723989650143</v>
      </c>
      <c r="M28" s="159">
        <f t="shared" si="2"/>
        <v>-4.4107730240495826</v>
      </c>
      <c r="N28" s="160">
        <f t="shared" si="2"/>
        <v>-12.975578024726133</v>
      </c>
      <c r="O28" s="158">
        <f t="shared" si="2"/>
        <v>-23.681584275571822</v>
      </c>
      <c r="P28" s="212"/>
    </row>
    <row r="29" spans="2:16" x14ac:dyDescent="0.25">
      <c r="B29" s="209"/>
      <c r="C29" s="12">
        <v>15</v>
      </c>
      <c r="D29" s="114">
        <f>_xlfn.XLOOKUP(C29,'Background Data'!$F$80:$F$100,'Background Data'!$G$80:$G$100)</f>
        <v>-24500000</v>
      </c>
      <c r="E29" s="168">
        <f t="shared" si="0"/>
        <v>-7.1471090565643847</v>
      </c>
      <c r="F29" s="158">
        <f t="shared" si="2"/>
        <v>-7.1471090565643847</v>
      </c>
      <c r="G29" s="158">
        <f t="shared" si="2"/>
        <v>-7.149250257814554</v>
      </c>
      <c r="H29" s="158">
        <f t="shared" si="2"/>
        <v>-7.1578150628152306</v>
      </c>
      <c r="I29" s="158">
        <f t="shared" si="2"/>
        <v>-7.1685210690660757</v>
      </c>
      <c r="J29" s="159">
        <f t="shared" si="2"/>
        <v>-7.2541691190728415</v>
      </c>
      <c r="K29" s="158">
        <f t="shared" si="2"/>
        <v>-7.3612291815812982</v>
      </c>
      <c r="L29" s="160">
        <f t="shared" si="2"/>
        <v>-8.2177096816489534</v>
      </c>
      <c r="M29" s="159">
        <f t="shared" si="2"/>
        <v>-9.2883103067335213</v>
      </c>
      <c r="N29" s="160">
        <f t="shared" si="2"/>
        <v>-17.853115307410071</v>
      </c>
      <c r="O29" s="158">
        <f t="shared" si="2"/>
        <v>-28.559121558255761</v>
      </c>
      <c r="P29" s="212"/>
    </row>
    <row r="30" spans="2:16" x14ac:dyDescent="0.25">
      <c r="B30" s="209"/>
      <c r="C30" s="12">
        <v>10</v>
      </c>
      <c r="D30" s="114">
        <f>_xlfn.XLOOKUP(C30,'Background Data'!$F$80:$F$100,'Background Data'!$G$80:$G$100)</f>
        <v>-69300000</v>
      </c>
      <c r="E30" s="168">
        <f t="shared" si="0"/>
        <v>-20.216108474282116</v>
      </c>
      <c r="F30" s="158">
        <f t="shared" si="2"/>
        <v>-20.216108474282116</v>
      </c>
      <c r="G30" s="158">
        <f t="shared" si="2"/>
        <v>-20.218249675532284</v>
      </c>
      <c r="H30" s="158">
        <f t="shared" si="2"/>
        <v>-20.226814480532962</v>
      </c>
      <c r="I30" s="158">
        <f t="shared" si="2"/>
        <v>-20.237520486783808</v>
      </c>
      <c r="J30" s="159">
        <f t="shared" si="2"/>
        <v>-20.323168536790572</v>
      </c>
      <c r="K30" s="158">
        <f t="shared" si="2"/>
        <v>-20.430228599299031</v>
      </c>
      <c r="L30" s="160">
        <f t="shared" si="2"/>
        <v>-21.286709099366686</v>
      </c>
      <c r="M30" s="159">
        <f t="shared" si="2"/>
        <v>-22.357309724451255</v>
      </c>
      <c r="N30" s="160">
        <f t="shared" si="2"/>
        <v>-30.922114725127805</v>
      </c>
      <c r="O30" s="158">
        <f t="shared" si="2"/>
        <v>-41.628120975973488</v>
      </c>
      <c r="P30" s="212"/>
    </row>
    <row r="31" spans="2:16" x14ac:dyDescent="0.25">
      <c r="B31" s="209"/>
      <c r="C31" s="12">
        <v>5</v>
      </c>
      <c r="D31" s="114">
        <f>_xlfn.XLOOKUP(C31,'Background Data'!$F$80:$F$100,'Background Data'!$G$80:$G$100)</f>
        <v>-195000000</v>
      </c>
      <c r="E31" s="168">
        <f t="shared" si="0"/>
        <v>-56.885153715512452</v>
      </c>
      <c r="F31" s="158">
        <f t="shared" si="2"/>
        <v>-56.885153715512452</v>
      </c>
      <c r="G31" s="158">
        <f t="shared" si="2"/>
        <v>-56.88729491676262</v>
      </c>
      <c r="H31" s="158">
        <f t="shared" si="2"/>
        <v>-56.895859721763294</v>
      </c>
      <c r="I31" s="158">
        <f t="shared" si="2"/>
        <v>-56.906565728014144</v>
      </c>
      <c r="J31" s="159">
        <f t="shared" si="2"/>
        <v>-56.992213778020911</v>
      </c>
      <c r="K31" s="158">
        <f t="shared" si="2"/>
        <v>-57.099273840529364</v>
      </c>
      <c r="L31" s="160">
        <f t="shared" si="2"/>
        <v>-57.955754340597018</v>
      </c>
      <c r="M31" s="159">
        <f t="shared" si="2"/>
        <v>-59.026354965681591</v>
      </c>
      <c r="N31" s="160">
        <f t="shared" si="2"/>
        <v>-67.591159966358134</v>
      </c>
      <c r="O31" s="158">
        <f t="shared" si="2"/>
        <v>-78.297166217203824</v>
      </c>
      <c r="P31" s="212"/>
    </row>
    <row r="32" spans="2:16" ht="15.75" thickBot="1" x14ac:dyDescent="0.3">
      <c r="B32" s="210"/>
      <c r="C32" s="105">
        <v>1</v>
      </c>
      <c r="D32" s="116">
        <f>_xlfn.XLOOKUP(C32,'Background Data'!$F$80:$F$100,'Background Data'!$G$80:$G$100)</f>
        <v>-639000000</v>
      </c>
      <c r="E32" s="170">
        <f t="shared" si="0"/>
        <v>-186.40827294467925</v>
      </c>
      <c r="F32" s="164">
        <f t="shared" si="2"/>
        <v>-186.40827294467925</v>
      </c>
      <c r="G32" s="164">
        <f t="shared" si="2"/>
        <v>-186.41041414592942</v>
      </c>
      <c r="H32" s="164">
        <f t="shared" si="2"/>
        <v>-186.4189789509301</v>
      </c>
      <c r="I32" s="164">
        <f t="shared" si="2"/>
        <v>-186.42968495718094</v>
      </c>
      <c r="J32" s="165">
        <f t="shared" si="2"/>
        <v>-186.51533300718771</v>
      </c>
      <c r="K32" s="164">
        <f t="shared" si="2"/>
        <v>-186.62239306969616</v>
      </c>
      <c r="L32" s="166">
        <f t="shared" si="2"/>
        <v>-187.47887356976383</v>
      </c>
      <c r="M32" s="165">
        <f t="shared" si="2"/>
        <v>-188.54947419484839</v>
      </c>
      <c r="N32" s="166">
        <f t="shared" si="2"/>
        <v>-197.11427919552494</v>
      </c>
      <c r="O32" s="164">
        <f t="shared" si="2"/>
        <v>-207.82028544637063</v>
      </c>
      <c r="P32" s="213"/>
    </row>
    <row r="33" spans="2:15" x14ac:dyDescent="0.25">
      <c r="B33" s="71"/>
      <c r="C33" s="54"/>
      <c r="D33" s="61"/>
      <c r="E33" s="106" t="s">
        <v>132</v>
      </c>
      <c r="F33" s="171">
        <f t="shared" ref="F33:O33" si="3">F34*$J$6</f>
        <v>0</v>
      </c>
      <c r="G33" s="172">
        <f t="shared" si="3"/>
        <v>2.1412012501691377E-3</v>
      </c>
      <c r="H33" s="172">
        <f t="shared" si="3"/>
        <v>1.0706006250845689E-2</v>
      </c>
      <c r="I33" s="172">
        <f t="shared" si="3"/>
        <v>2.1412012501691377E-2</v>
      </c>
      <c r="J33" s="173">
        <f t="shared" si="3"/>
        <v>0.10706006250845687</v>
      </c>
      <c r="K33" s="172">
        <f t="shared" si="3"/>
        <v>0.21412012501691374</v>
      </c>
      <c r="L33" s="171">
        <f t="shared" si="3"/>
        <v>1.0706006250845688</v>
      </c>
      <c r="M33" s="173">
        <f t="shared" si="3"/>
        <v>2.1412012501691375</v>
      </c>
      <c r="N33" s="171">
        <f t="shared" si="3"/>
        <v>10.706006250845688</v>
      </c>
      <c r="O33" s="174">
        <f t="shared" si="3"/>
        <v>21.412012501691375</v>
      </c>
    </row>
    <row r="34" spans="2:15" x14ac:dyDescent="0.25">
      <c r="B34" s="56"/>
      <c r="D34" s="5"/>
      <c r="E34" s="107" t="s">
        <v>103</v>
      </c>
      <c r="F34" s="100">
        <f t="shared" ref="F34:O34" si="4">F35*$I$6</f>
        <v>0</v>
      </c>
      <c r="G34" s="101">
        <f t="shared" si="4"/>
        <v>4.1194409148665817E-4</v>
      </c>
      <c r="H34" s="101">
        <f t="shared" si="4"/>
        <v>2.059720457433291E-3</v>
      </c>
      <c r="I34" s="101">
        <f t="shared" si="4"/>
        <v>4.1194409148665821E-3</v>
      </c>
      <c r="J34" s="102">
        <f t="shared" si="4"/>
        <v>2.0597204574332909E-2</v>
      </c>
      <c r="K34" s="101">
        <f t="shared" si="4"/>
        <v>4.1194409148665817E-2</v>
      </c>
      <c r="L34" s="100">
        <f t="shared" si="4"/>
        <v>0.20597204574332909</v>
      </c>
      <c r="M34" s="102">
        <f t="shared" si="4"/>
        <v>0.41194409148665817</v>
      </c>
      <c r="N34" s="100">
        <f t="shared" si="4"/>
        <v>2.0597204574332908</v>
      </c>
      <c r="O34" s="108">
        <f t="shared" si="4"/>
        <v>4.1194409148665816</v>
      </c>
    </row>
    <row r="35" spans="2:15" x14ac:dyDescent="0.25">
      <c r="B35" s="56"/>
      <c r="D35" s="5"/>
      <c r="E35" s="107" t="s">
        <v>5</v>
      </c>
      <c r="F35" s="94">
        <v>0</v>
      </c>
      <c r="G35" s="95">
        <v>1E-4</v>
      </c>
      <c r="H35" s="95">
        <v>5.0000000000000001E-4</v>
      </c>
      <c r="I35" s="95">
        <v>1E-3</v>
      </c>
      <c r="J35" s="96">
        <v>5.0000000000000001E-3</v>
      </c>
      <c r="K35" s="97">
        <v>0.01</v>
      </c>
      <c r="L35" s="98">
        <v>0.05</v>
      </c>
      <c r="M35" s="99">
        <v>0.1</v>
      </c>
      <c r="N35" s="98">
        <v>0.5</v>
      </c>
      <c r="O35" s="112">
        <v>1</v>
      </c>
    </row>
    <row r="36" spans="2:15" x14ac:dyDescent="0.25">
      <c r="B36" s="56"/>
      <c r="F36" s="194" t="s">
        <v>16</v>
      </c>
      <c r="G36" s="194"/>
      <c r="H36" s="194"/>
      <c r="I36" s="194"/>
      <c r="J36" s="194"/>
      <c r="K36" s="117" t="s">
        <v>17</v>
      </c>
      <c r="L36" s="195" t="s">
        <v>18</v>
      </c>
      <c r="M36" s="195"/>
      <c r="N36" s="196" t="s">
        <v>104</v>
      </c>
      <c r="O36" s="197"/>
    </row>
    <row r="37" spans="2:15" ht="15.75" thickBot="1" x14ac:dyDescent="0.3">
      <c r="B37" s="58"/>
      <c r="C37" s="59"/>
      <c r="D37" s="59"/>
      <c r="E37" s="59"/>
      <c r="F37" s="198" t="s">
        <v>111</v>
      </c>
      <c r="G37" s="199"/>
      <c r="H37" s="199"/>
      <c r="I37" s="199"/>
      <c r="J37" s="199"/>
      <c r="K37" s="199"/>
      <c r="L37" s="199"/>
      <c r="M37" s="199"/>
      <c r="N37" s="199"/>
      <c r="O37" s="200"/>
    </row>
  </sheetData>
  <mergeCells count="18">
    <mergeCell ref="P8:P10"/>
    <mergeCell ref="F9:O10"/>
    <mergeCell ref="B2:E2"/>
    <mergeCell ref="D4:E4"/>
    <mergeCell ref="D5:E5"/>
    <mergeCell ref="B8:E8"/>
    <mergeCell ref="F8:O8"/>
    <mergeCell ref="P11:P17"/>
    <mergeCell ref="B15:B20"/>
    <mergeCell ref="P18:P24"/>
    <mergeCell ref="B21:B23"/>
    <mergeCell ref="B25:B32"/>
    <mergeCell ref="P25:P32"/>
    <mergeCell ref="F36:J36"/>
    <mergeCell ref="L36:M36"/>
    <mergeCell ref="N36:O36"/>
    <mergeCell ref="F37:O37"/>
    <mergeCell ref="B11:B14"/>
  </mergeCells>
  <conditionalFormatting sqref="F11:O32">
    <cfRule type="cellIs" dxfId="0" priority="1" operator="lessThan">
      <formula>0</formula>
    </cfRule>
    <cfRule type="colorScale" priority="4">
      <colorScale>
        <cfvo type="formula" val="-$F$13"/>
        <cfvo type="num" val="0"/>
        <cfvo type="num" val="$F$13"/>
        <color rgb="FFFF0000"/>
        <color theme="0"/>
        <color rgb="FF63BE7B"/>
      </colorScale>
    </cfRule>
  </conditionalFormatting>
  <dataValidations count="1">
    <dataValidation type="list" allowBlank="1" showInputMessage="1" showErrorMessage="1" sqref="D4" xr:uid="{BFBE0674-6C6E-4AB7-87AC-1CC39BF4A815}">
      <formula1>"20,100"</formula1>
    </dataValidation>
  </dataValidations>
  <pageMargins left="0.7" right="0.7" top="0.75" bottom="0.75" header="0.3" footer="0.3"/>
  <ignoredErrors>
    <ignoredError sqref="D24" formula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9120CC2-26A8-469E-8B36-C50B6F7B22B5}">
          <x14:formula1>
            <xm:f>'Background Data'!$C$8:$C$12</xm:f>
          </x14:formula1>
          <xm:sqref>E1 D5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F66D-D31E-4902-834C-A7FAD6F47EA7}">
  <dimension ref="B1:T128"/>
  <sheetViews>
    <sheetView zoomScale="90" zoomScaleNormal="90" workbookViewId="0"/>
  </sheetViews>
  <sheetFormatPr defaultRowHeight="15" x14ac:dyDescent="0.25"/>
  <cols>
    <col min="2" max="2" width="25" customWidth="1"/>
    <col min="3" max="3" width="20.28515625" customWidth="1"/>
    <col min="4" max="4" width="21.28515625" customWidth="1"/>
    <col min="5" max="5" width="17" customWidth="1"/>
    <col min="6" max="6" width="15.5703125" customWidth="1"/>
    <col min="7" max="7" width="9.7109375" bestFit="1" customWidth="1"/>
    <col min="8" max="8" width="18.28515625" customWidth="1"/>
    <col min="9" max="11" width="10.42578125" customWidth="1"/>
  </cols>
  <sheetData>
    <row r="1" spans="2:10" x14ac:dyDescent="0.25">
      <c r="B1" s="5" t="s">
        <v>130</v>
      </c>
    </row>
    <row r="2" spans="2:10" s="82" customFormat="1" ht="15.75" thickBot="1" x14ac:dyDescent="0.3"/>
    <row r="3" spans="2:10" ht="15.75" thickTop="1" x14ac:dyDescent="0.25">
      <c r="B3" s="5" t="s">
        <v>99</v>
      </c>
    </row>
    <row r="4" spans="2:10" ht="15.75" thickBot="1" x14ac:dyDescent="0.3"/>
    <row r="5" spans="2:10" x14ac:dyDescent="0.25">
      <c r="B5" s="53" t="s">
        <v>129</v>
      </c>
      <c r="C5" s="54"/>
      <c r="D5" s="54"/>
      <c r="E5" s="54"/>
      <c r="F5" s="55"/>
    </row>
    <row r="6" spans="2:10" x14ac:dyDescent="0.25">
      <c r="B6" s="139" t="s">
        <v>35</v>
      </c>
      <c r="C6" s="131"/>
      <c r="D6" s="131"/>
      <c r="E6" s="131"/>
      <c r="F6" s="134"/>
    </row>
    <row r="7" spans="2:10" s="15" customFormat="1" ht="45.6" customHeight="1" x14ac:dyDescent="0.25">
      <c r="B7" s="72" t="s">
        <v>22</v>
      </c>
      <c r="C7" s="49" t="s">
        <v>23</v>
      </c>
      <c r="D7" s="49" t="s">
        <v>93</v>
      </c>
      <c r="E7" s="49" t="s">
        <v>118</v>
      </c>
      <c r="F7" s="135" t="s">
        <v>119</v>
      </c>
      <c r="H7"/>
      <c r="I7"/>
      <c r="J7"/>
    </row>
    <row r="8" spans="2:10" x14ac:dyDescent="0.25">
      <c r="B8" s="56" t="s">
        <v>24</v>
      </c>
      <c r="C8" t="s">
        <v>29</v>
      </c>
      <c r="D8" s="48">
        <v>2.9577114427860698</v>
      </c>
      <c r="E8">
        <v>804</v>
      </c>
      <c r="F8" s="57">
        <v>2378</v>
      </c>
    </row>
    <row r="9" spans="2:10" x14ac:dyDescent="0.25">
      <c r="B9" s="56"/>
      <c r="C9" t="s">
        <v>25</v>
      </c>
      <c r="D9" s="48">
        <v>4.1194409148665816</v>
      </c>
      <c r="E9">
        <v>1574</v>
      </c>
      <c r="F9" s="57">
        <v>6484</v>
      </c>
    </row>
    <row r="10" spans="2:10" x14ac:dyDescent="0.25">
      <c r="B10" s="56"/>
      <c r="C10" t="s">
        <v>26</v>
      </c>
      <c r="D10" s="48">
        <v>6.092634619352177</v>
      </c>
      <c r="E10">
        <v>4847</v>
      </c>
      <c r="F10" s="57">
        <v>29531</v>
      </c>
    </row>
    <row r="11" spans="2:10" x14ac:dyDescent="0.25">
      <c r="B11" s="56"/>
      <c r="C11" t="s">
        <v>27</v>
      </c>
      <c r="D11" s="48">
        <v>7.7752452394691289</v>
      </c>
      <c r="E11">
        <v>6932</v>
      </c>
      <c r="F11" s="57">
        <v>53898</v>
      </c>
    </row>
    <row r="12" spans="2:10" x14ac:dyDescent="0.25">
      <c r="B12" s="56"/>
      <c r="C12" t="s">
        <v>28</v>
      </c>
      <c r="D12" s="48">
        <v>12.927069470322065</v>
      </c>
      <c r="E12">
        <v>3757</v>
      </c>
      <c r="F12" s="57">
        <v>48567</v>
      </c>
    </row>
    <row r="13" spans="2:10" x14ac:dyDescent="0.25">
      <c r="B13" s="56" t="s">
        <v>30</v>
      </c>
      <c r="C13" t="s">
        <v>31</v>
      </c>
      <c r="D13" s="48">
        <v>5.2502415458937195</v>
      </c>
      <c r="E13">
        <v>1035</v>
      </c>
      <c r="F13" s="57">
        <v>5434</v>
      </c>
    </row>
    <row r="14" spans="2:10" x14ac:dyDescent="0.25">
      <c r="B14" s="56"/>
      <c r="C14" t="s">
        <v>32</v>
      </c>
      <c r="D14" s="48">
        <v>7.8114669421487601</v>
      </c>
      <c r="E14">
        <v>1936</v>
      </c>
      <c r="F14" s="57">
        <v>15123</v>
      </c>
    </row>
    <row r="15" spans="2:10" x14ac:dyDescent="0.25">
      <c r="B15" s="56"/>
      <c r="C15" t="s">
        <v>33</v>
      </c>
      <c r="D15" s="48">
        <v>8.7127272727272729</v>
      </c>
      <c r="E15">
        <v>2200</v>
      </c>
      <c r="F15" s="57">
        <v>19168</v>
      </c>
    </row>
    <row r="16" spans="2:10" x14ac:dyDescent="0.25">
      <c r="B16" s="136"/>
      <c r="C16" s="132" t="s">
        <v>34</v>
      </c>
      <c r="D16" s="133">
        <v>13.28022759601707</v>
      </c>
      <c r="E16" s="132">
        <v>4921</v>
      </c>
      <c r="F16" s="137">
        <v>65352</v>
      </c>
    </row>
    <row r="17" spans="2:6" x14ac:dyDescent="0.25">
      <c r="B17" s="56"/>
      <c r="F17" s="57"/>
    </row>
    <row r="18" spans="2:6" x14ac:dyDescent="0.25">
      <c r="B18" s="140" t="s">
        <v>120</v>
      </c>
      <c r="C18" s="14"/>
      <c r="D18" s="14"/>
      <c r="E18" s="14"/>
      <c r="F18" s="74"/>
    </row>
    <row r="19" spans="2:6" x14ac:dyDescent="0.25">
      <c r="B19" s="138" t="s">
        <v>36</v>
      </c>
      <c r="F19" s="57"/>
    </row>
    <row r="20" spans="2:6" x14ac:dyDescent="0.25">
      <c r="B20" s="138" t="s">
        <v>37</v>
      </c>
      <c r="F20" s="57"/>
    </row>
    <row r="21" spans="2:6" x14ac:dyDescent="0.25">
      <c r="B21" s="56"/>
      <c r="C21" t="s">
        <v>59</v>
      </c>
      <c r="D21" t="s">
        <v>60</v>
      </c>
      <c r="E21" t="s">
        <v>58</v>
      </c>
      <c r="F21" s="57" t="s">
        <v>57</v>
      </c>
    </row>
    <row r="22" spans="2:6" x14ac:dyDescent="0.25">
      <c r="B22" s="56"/>
      <c r="C22" t="s">
        <v>55</v>
      </c>
      <c r="D22" t="s">
        <v>55</v>
      </c>
      <c r="E22" t="s">
        <v>55</v>
      </c>
      <c r="F22" s="57" t="s">
        <v>55</v>
      </c>
    </row>
    <row r="23" spans="2:6" x14ac:dyDescent="0.25">
      <c r="B23" s="56"/>
      <c r="C23" t="s">
        <v>56</v>
      </c>
      <c r="D23" t="s">
        <v>56</v>
      </c>
      <c r="E23" t="s">
        <v>56</v>
      </c>
      <c r="F23" s="57" t="s">
        <v>56</v>
      </c>
    </row>
    <row r="24" spans="2:6" x14ac:dyDescent="0.25">
      <c r="B24" s="56" t="s">
        <v>38</v>
      </c>
      <c r="C24" s="19">
        <v>121638.74569690705</v>
      </c>
      <c r="D24" s="19">
        <v>121638.74569690705</v>
      </c>
      <c r="E24" s="19">
        <v>121638.74569690705</v>
      </c>
      <c r="F24" s="75">
        <v>121638.74569690705</v>
      </c>
    </row>
    <row r="25" spans="2:6" x14ac:dyDescent="0.25">
      <c r="B25" s="56" t="s">
        <v>39</v>
      </c>
      <c r="C25" s="19">
        <v>116543.66316817346</v>
      </c>
      <c r="D25" s="19">
        <v>116543.66316817346</v>
      </c>
      <c r="E25" s="19">
        <v>116543.66316817346</v>
      </c>
      <c r="F25" s="75">
        <v>116543.66316817346</v>
      </c>
    </row>
    <row r="26" spans="2:6" x14ac:dyDescent="0.25">
      <c r="B26" s="56" t="s">
        <v>40</v>
      </c>
      <c r="C26" s="19">
        <v>7036.7364330177243</v>
      </c>
      <c r="D26" s="19">
        <v>7036.7364330177243</v>
      </c>
      <c r="E26" s="19">
        <v>7036.7364330177243</v>
      </c>
      <c r="F26" s="75">
        <v>7036.7364330177243</v>
      </c>
    </row>
    <row r="27" spans="2:6" x14ac:dyDescent="0.25">
      <c r="B27" s="56" t="s">
        <v>41</v>
      </c>
      <c r="C27" s="19">
        <v>77097.029017985216</v>
      </c>
      <c r="D27" s="19">
        <v>77097.029017985216</v>
      </c>
      <c r="E27" s="19">
        <v>77097.029017985216</v>
      </c>
      <c r="F27" s="75">
        <v>77097.029017985216</v>
      </c>
    </row>
    <row r="28" spans="2:6" x14ac:dyDescent="0.25">
      <c r="B28" s="56" t="s">
        <v>42</v>
      </c>
      <c r="C28" s="19">
        <v>32409.897717170519</v>
      </c>
      <c r="D28" s="19">
        <v>32409.897717170519</v>
      </c>
      <c r="E28" s="19">
        <v>32409.897717170519</v>
      </c>
      <c r="F28" s="75">
        <v>32409.897717170519</v>
      </c>
    </row>
    <row r="29" spans="2:6" x14ac:dyDescent="0.25">
      <c r="B29" s="56" t="s">
        <v>43</v>
      </c>
      <c r="C29" s="19">
        <v>1.9839314100261858E-2</v>
      </c>
      <c r="D29" s="19">
        <v>1.9839314100261858E-2</v>
      </c>
      <c r="E29" s="19">
        <v>1.9839314100261858E-2</v>
      </c>
      <c r="F29" s="75">
        <v>1.9839314100261858E-2</v>
      </c>
    </row>
    <row r="30" spans="2:6" x14ac:dyDescent="0.25">
      <c r="B30" s="56" t="s">
        <v>44</v>
      </c>
      <c r="C30" s="19">
        <v>6.5242665452220003E-3</v>
      </c>
      <c r="D30" s="19">
        <v>6.5242665452220003E-3</v>
      </c>
      <c r="E30" s="19">
        <v>6.5242665452220003E-3</v>
      </c>
      <c r="F30" s="75">
        <v>6.5242665452220003E-3</v>
      </c>
    </row>
    <row r="31" spans="2:6" x14ac:dyDescent="0.25">
      <c r="B31" s="56" t="s">
        <v>45</v>
      </c>
      <c r="C31" s="19">
        <v>9.6484915910029345E-3</v>
      </c>
      <c r="D31" s="19">
        <v>9.6484915910029345E-3</v>
      </c>
      <c r="E31" s="19">
        <v>9.6484915910029345E-3</v>
      </c>
      <c r="F31" s="75">
        <v>9.6484915910029345E-3</v>
      </c>
    </row>
    <row r="32" spans="2:6" x14ac:dyDescent="0.25">
      <c r="B32" s="56" t="s">
        <v>46</v>
      </c>
      <c r="C32" s="19">
        <v>1.4777100680270614E-2</v>
      </c>
      <c r="D32" s="19">
        <v>1.4777100680270614E-2</v>
      </c>
      <c r="E32" s="19">
        <v>1.4777100680270614E-2</v>
      </c>
      <c r="F32" s="75">
        <v>1.4777100680270614E-2</v>
      </c>
    </row>
    <row r="33" spans="2:6" x14ac:dyDescent="0.25">
      <c r="B33" s="56" t="s">
        <v>47</v>
      </c>
      <c r="C33" s="19">
        <v>9.3013207373761776E-4</v>
      </c>
      <c r="D33" s="19">
        <v>9.3013207373761776E-4</v>
      </c>
      <c r="E33" s="19">
        <v>9.3013207373761776E-4</v>
      </c>
      <c r="F33" s="75">
        <v>9.3013207373761776E-4</v>
      </c>
    </row>
    <row r="34" spans="2:6" x14ac:dyDescent="0.25">
      <c r="B34" s="56" t="s">
        <v>48</v>
      </c>
      <c r="C34" s="19">
        <v>7.8711454416348229E-4</v>
      </c>
      <c r="D34" s="19">
        <v>7.8711454416348229E-4</v>
      </c>
      <c r="E34" s="19">
        <v>7.8711454416348229E-4</v>
      </c>
      <c r="F34" s="75">
        <v>7.8711454416348229E-4</v>
      </c>
    </row>
    <row r="35" spans="2:6" x14ac:dyDescent="0.25">
      <c r="B35" s="56" t="s">
        <v>49</v>
      </c>
      <c r="C35" s="19">
        <v>3.6516668793431508E-3</v>
      </c>
      <c r="D35" s="19">
        <v>3.6516668793431508E-3</v>
      </c>
      <c r="E35" s="19">
        <v>3.6516668793431508E-3</v>
      </c>
      <c r="F35" s="75">
        <v>3.6516668793431508E-3</v>
      </c>
    </row>
    <row r="36" spans="2:6" x14ac:dyDescent="0.25">
      <c r="B36" s="56" t="s">
        <v>50</v>
      </c>
      <c r="C36" s="19">
        <v>1.249754383551755E-4</v>
      </c>
      <c r="D36" s="19">
        <v>1.249754383551755E-4</v>
      </c>
      <c r="E36" s="19">
        <v>1.249754383551755E-4</v>
      </c>
      <c r="F36" s="75">
        <v>1.249754383551755E-4</v>
      </c>
    </row>
    <row r="37" spans="2:6" x14ac:dyDescent="0.25">
      <c r="B37" s="56" t="s">
        <v>51</v>
      </c>
      <c r="C37" s="19">
        <v>2.3277401805101982E-4</v>
      </c>
      <c r="D37" s="19">
        <v>2.3277401805101982E-4</v>
      </c>
      <c r="E37" s="19">
        <v>2.3277401805101982E-4</v>
      </c>
      <c r="F37" s="75">
        <v>2.3277401805101982E-4</v>
      </c>
    </row>
    <row r="38" spans="2:6" x14ac:dyDescent="0.25">
      <c r="B38" s="56" t="s">
        <v>52</v>
      </c>
      <c r="C38" s="19">
        <v>9.4687514008023707E-2</v>
      </c>
      <c r="D38" s="19">
        <v>9.4687514008023707E-2</v>
      </c>
      <c r="E38" s="19">
        <v>9.4687514008023707E-2</v>
      </c>
      <c r="F38" s="75">
        <v>9.4687514008023707E-2</v>
      </c>
    </row>
    <row r="39" spans="2:6" x14ac:dyDescent="0.25">
      <c r="B39" s="56" t="s">
        <v>53</v>
      </c>
      <c r="C39" s="19">
        <v>1.4578849862091788E-4</v>
      </c>
      <c r="D39" s="19">
        <v>1.4578849862091788E-4</v>
      </c>
      <c r="E39" s="19">
        <v>1.4578849862091788E-4</v>
      </c>
      <c r="F39" s="75">
        <v>1.4578849862091788E-4</v>
      </c>
    </row>
    <row r="40" spans="2:6" x14ac:dyDescent="0.25">
      <c r="B40" s="56" t="s">
        <v>15</v>
      </c>
      <c r="C40" s="19">
        <v>8.2391807930261365</v>
      </c>
      <c r="D40" s="19">
        <v>8.2391807930261365</v>
      </c>
      <c r="E40" s="19">
        <v>8.2391807930261365</v>
      </c>
      <c r="F40" s="75">
        <v>8.2391807930261365</v>
      </c>
    </row>
    <row r="41" spans="2:6" x14ac:dyDescent="0.25">
      <c r="B41" s="56" t="s">
        <v>54</v>
      </c>
      <c r="C41" s="19">
        <v>8.2746766724493668</v>
      </c>
      <c r="D41" s="19">
        <v>8.2746766724493668</v>
      </c>
      <c r="E41" s="19">
        <v>8.2746766724493668</v>
      </c>
      <c r="F41" s="75">
        <v>8.2746766724493668</v>
      </c>
    </row>
    <row r="42" spans="2:6" x14ac:dyDescent="0.25">
      <c r="B42" s="150" t="s">
        <v>87</v>
      </c>
      <c r="C42" s="20">
        <v>16.916168081868573</v>
      </c>
      <c r="D42" s="20">
        <v>16.126196838234833</v>
      </c>
      <c r="E42" s="20">
        <v>11.136164850011985</v>
      </c>
      <c r="F42" s="151">
        <v>11.124960931972801</v>
      </c>
    </row>
    <row r="43" spans="2:6" ht="15.75" thickBot="1" x14ac:dyDescent="0.3">
      <c r="B43" s="79" t="s">
        <v>88</v>
      </c>
      <c r="C43" s="80">
        <f>(C42/1000)*$B$53</f>
        <v>0.72401199390397486</v>
      </c>
      <c r="D43" s="80">
        <f>(D42/1000)*$B$53</f>
        <v>0.69020122467645073</v>
      </c>
      <c r="E43" s="80">
        <f>(E42/1000)*$B$53</f>
        <v>0.4766278555805129</v>
      </c>
      <c r="F43" s="81">
        <f>(F42/1000)*$B$53</f>
        <v>0.47614832788843586</v>
      </c>
    </row>
    <row r="45" spans="2:6" x14ac:dyDescent="0.25">
      <c r="B45" s="148" t="s">
        <v>127</v>
      </c>
      <c r="C45" s="149"/>
    </row>
    <row r="46" spans="2:6" x14ac:dyDescent="0.25">
      <c r="B46" s="2"/>
      <c r="C46" s="18" t="s">
        <v>61</v>
      </c>
    </row>
    <row r="47" spans="2:6" x14ac:dyDescent="0.25">
      <c r="B47" s="2" t="s">
        <v>128</v>
      </c>
      <c r="C47" s="18">
        <f>9.6+5.3</f>
        <v>14.899999999999999</v>
      </c>
    </row>
    <row r="48" spans="2:6" x14ac:dyDescent="0.25">
      <c r="B48" s="2" t="s">
        <v>62</v>
      </c>
      <c r="C48" s="18">
        <v>73.8</v>
      </c>
    </row>
    <row r="49" spans="2:20" x14ac:dyDescent="0.25">
      <c r="B49" s="3" t="s">
        <v>89</v>
      </c>
      <c r="C49" s="47">
        <f>E42+C48</f>
        <v>84.936164850011977</v>
      </c>
    </row>
    <row r="52" spans="2:20" x14ac:dyDescent="0.25">
      <c r="B52" s="86" t="s">
        <v>126</v>
      </c>
      <c r="C52" s="16"/>
    </row>
    <row r="53" spans="2:20" x14ac:dyDescent="0.25">
      <c r="B53" s="2">
        <v>42.8</v>
      </c>
      <c r="C53" s="18" t="s">
        <v>86</v>
      </c>
    </row>
    <row r="54" spans="2:20" x14ac:dyDescent="0.25">
      <c r="B54" s="3">
        <v>3.16</v>
      </c>
      <c r="C54" s="21" t="s">
        <v>92</v>
      </c>
    </row>
    <row r="55" spans="2:20" ht="15.75" thickBot="1" x14ac:dyDescent="0.3"/>
    <row r="56" spans="2:20" x14ac:dyDescent="0.25">
      <c r="B56" s="53" t="s">
        <v>122</v>
      </c>
      <c r="C56" s="54"/>
      <c r="D56" s="54"/>
      <c r="E56" s="54"/>
      <c r="F56" s="61" t="s">
        <v>123</v>
      </c>
      <c r="G56" s="54"/>
      <c r="H56" s="54"/>
      <c r="I56" s="54"/>
      <c r="J56" s="54"/>
      <c r="K56" s="54"/>
      <c r="L56" s="54"/>
      <c r="M56" s="54"/>
      <c r="N56" s="54"/>
      <c r="O56" s="61" t="s">
        <v>14</v>
      </c>
      <c r="P56" s="54"/>
      <c r="Q56" s="54"/>
      <c r="R56" s="54"/>
      <c r="S56" s="54"/>
      <c r="T56" s="55"/>
    </row>
    <row r="57" spans="2:20" x14ac:dyDescent="0.25">
      <c r="B57" s="56" t="s">
        <v>121</v>
      </c>
      <c r="F57" s="1"/>
      <c r="G57" s="23" t="s">
        <v>85</v>
      </c>
      <c r="H57" s="24"/>
      <c r="I57" s="24"/>
      <c r="J57" s="24"/>
      <c r="K57" s="24"/>
      <c r="L57" s="27"/>
      <c r="N57" s="1"/>
      <c r="O57" s="23" t="s">
        <v>84</v>
      </c>
      <c r="P57" s="24"/>
      <c r="Q57" s="24"/>
      <c r="R57" s="24"/>
      <c r="S57" s="24"/>
      <c r="T57" s="62"/>
    </row>
    <row r="58" spans="2:20" x14ac:dyDescent="0.25">
      <c r="B58" s="56"/>
      <c r="F58" s="2"/>
      <c r="G58" s="25" t="s">
        <v>76</v>
      </c>
      <c r="H58" s="28" t="s">
        <v>77</v>
      </c>
      <c r="I58" s="28" t="s">
        <v>78</v>
      </c>
      <c r="J58" s="28" t="s">
        <v>79</v>
      </c>
      <c r="K58" s="28" t="s">
        <v>80</v>
      </c>
      <c r="L58" s="29" t="s">
        <v>81</v>
      </c>
      <c r="N58" s="2"/>
      <c r="O58" s="25" t="s">
        <v>76</v>
      </c>
      <c r="P58" s="28" t="s">
        <v>77</v>
      </c>
      <c r="Q58" s="28" t="s">
        <v>78</v>
      </c>
      <c r="R58" s="28" t="s">
        <v>79</v>
      </c>
      <c r="S58" s="28" t="s">
        <v>80</v>
      </c>
      <c r="T58" s="63" t="s">
        <v>81</v>
      </c>
    </row>
    <row r="59" spans="2:20" ht="15.75" x14ac:dyDescent="0.25">
      <c r="B59" s="64" t="s">
        <v>64</v>
      </c>
      <c r="C59" s="43" t="s">
        <v>65</v>
      </c>
      <c r="D59" s="44" t="s">
        <v>66</v>
      </c>
      <c r="F59" s="30" t="s">
        <v>15</v>
      </c>
      <c r="G59" s="2">
        <v>1</v>
      </c>
      <c r="H59">
        <v>1</v>
      </c>
      <c r="I59">
        <v>1</v>
      </c>
      <c r="J59">
        <v>1</v>
      </c>
      <c r="K59">
        <v>1</v>
      </c>
      <c r="L59" s="18">
        <v>1</v>
      </c>
      <c r="N59" s="30"/>
      <c r="O59" s="2"/>
      <c r="T59" s="57"/>
    </row>
    <row r="60" spans="2:20" x14ac:dyDescent="0.25">
      <c r="B60" s="56" t="s">
        <v>67</v>
      </c>
      <c r="C60">
        <v>15.14</v>
      </c>
      <c r="D60" s="45" t="s">
        <v>68</v>
      </c>
      <c r="F60" s="30" t="s">
        <v>74</v>
      </c>
      <c r="G60" s="26">
        <v>619.49686718471696</v>
      </c>
      <c r="H60" s="31">
        <v>204.815773200547</v>
      </c>
      <c r="I60" s="31">
        <v>113.98871370482399</v>
      </c>
      <c r="J60" s="32">
        <v>-222</v>
      </c>
      <c r="K60" s="32">
        <v>-69</v>
      </c>
      <c r="L60" s="33">
        <v>13</v>
      </c>
      <c r="N60" s="30" t="s">
        <v>74</v>
      </c>
      <c r="O60" s="39">
        <f t="array" ref="O60:T63">C60:C63*G60:L63/1000</f>
        <v>9.3791825691766153</v>
      </c>
      <c r="P60" s="40">
        <v>3.100910806256282</v>
      </c>
      <c r="Q60" s="40">
        <v>1.7257891254910354</v>
      </c>
      <c r="R60" s="40">
        <v>-3.3610799999999998</v>
      </c>
      <c r="S60" s="40">
        <v>-1.0446600000000001</v>
      </c>
      <c r="T60" s="65">
        <v>0.19681999999999999</v>
      </c>
    </row>
    <row r="61" spans="2:20" x14ac:dyDescent="0.25">
      <c r="B61" s="56" t="s">
        <v>70</v>
      </c>
      <c r="C61">
        <v>0.03</v>
      </c>
      <c r="D61" s="45" t="s">
        <v>71</v>
      </c>
      <c r="F61" s="30" t="s">
        <v>50</v>
      </c>
      <c r="G61" s="26">
        <v>4288.21802214326</v>
      </c>
      <c r="H61" s="31">
        <v>2017.83513118103</v>
      </c>
      <c r="I61" s="31">
        <v>1166.47837482415</v>
      </c>
      <c r="J61" s="32">
        <v>1245</v>
      </c>
      <c r="K61" s="32">
        <v>195</v>
      </c>
      <c r="L61" s="33">
        <v>161</v>
      </c>
      <c r="N61" s="30" t="s">
        <v>50</v>
      </c>
      <c r="O61" s="39">
        <v>0.12864654066429779</v>
      </c>
      <c r="P61" s="40">
        <v>6.0535053935430898E-2</v>
      </c>
      <c r="Q61" s="40">
        <v>3.4994351244724498E-2</v>
      </c>
      <c r="R61" s="40">
        <v>3.7350000000000001E-2</v>
      </c>
      <c r="S61" s="40">
        <v>5.8499999999999993E-3</v>
      </c>
      <c r="T61" s="65">
        <v>4.8300000000000001E-3</v>
      </c>
    </row>
    <row r="62" spans="2:20" x14ac:dyDescent="0.25">
      <c r="B62" s="56" t="s">
        <v>72</v>
      </c>
      <c r="C62">
        <f>0.6*(64/32)</f>
        <v>1.2</v>
      </c>
      <c r="D62" s="45" t="s">
        <v>73</v>
      </c>
      <c r="F62" s="30" t="s">
        <v>75</v>
      </c>
      <c r="G62" s="26">
        <v>-832.14835108062698</v>
      </c>
      <c r="H62" s="31">
        <v>-391.57015069994401</v>
      </c>
      <c r="I62" s="31">
        <v>-226.36047215154801</v>
      </c>
      <c r="J62" s="32">
        <v>-241</v>
      </c>
      <c r="K62" s="32">
        <v>-38</v>
      </c>
      <c r="L62" s="33">
        <v>-31</v>
      </c>
      <c r="N62" s="30" t="s">
        <v>75</v>
      </c>
      <c r="O62" s="39">
        <v>-0.99857802129675233</v>
      </c>
      <c r="P62" s="40">
        <v>-0.46988418083993283</v>
      </c>
      <c r="Q62" s="40">
        <v>-0.27163256658185758</v>
      </c>
      <c r="R62" s="40">
        <v>-0.28920000000000001</v>
      </c>
      <c r="S62" s="40">
        <v>-4.5600000000000002E-2</v>
      </c>
      <c r="T62" s="65">
        <v>-3.7199999999999997E-2</v>
      </c>
    </row>
    <row r="63" spans="2:20" x14ac:dyDescent="0.25">
      <c r="B63" s="66" t="s">
        <v>69</v>
      </c>
      <c r="C63" s="17">
        <v>1231</v>
      </c>
      <c r="D63" s="46" t="s">
        <v>68</v>
      </c>
      <c r="F63" s="34" t="s">
        <v>82</v>
      </c>
      <c r="G63" s="35">
        <v>0.216500675525514</v>
      </c>
      <c r="H63" s="36">
        <v>0.101875107012843</v>
      </c>
      <c r="I63" s="36">
        <v>5.88923779881977E-2</v>
      </c>
      <c r="J63" s="37">
        <v>7.0000000000000007E-2</v>
      </c>
      <c r="K63" s="37">
        <v>0.01</v>
      </c>
      <c r="L63" s="38">
        <v>8.0000000000000002E-3</v>
      </c>
      <c r="N63" s="34" t="s">
        <v>82</v>
      </c>
      <c r="O63" s="41">
        <v>0.26651233157190773</v>
      </c>
      <c r="P63" s="42">
        <v>0.12540825673280973</v>
      </c>
      <c r="Q63" s="42">
        <v>7.2496517303471369E-2</v>
      </c>
      <c r="R63" s="42">
        <v>8.6169999999999997E-2</v>
      </c>
      <c r="S63" s="42">
        <v>1.231E-2</v>
      </c>
      <c r="T63" s="67">
        <v>9.8480000000000009E-3</v>
      </c>
    </row>
    <row r="64" spans="2:20" ht="15.75" thickBot="1" x14ac:dyDescent="0.3">
      <c r="B64" s="58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68" t="s">
        <v>83</v>
      </c>
      <c r="O64" s="69">
        <f>SUM(O60:O63)</f>
        <v>8.7757634201160677</v>
      </c>
      <c r="P64" s="69">
        <f t="shared" ref="P64:T64" si="0">SUM(P60:P63)</f>
        <v>2.8169699360845901</v>
      </c>
      <c r="Q64" s="69">
        <f t="shared" si="0"/>
        <v>1.5616474274573735</v>
      </c>
      <c r="R64" s="69">
        <f t="shared" si="0"/>
        <v>-3.5267599999999999</v>
      </c>
      <c r="S64" s="69">
        <f t="shared" si="0"/>
        <v>-1.0721000000000003</v>
      </c>
      <c r="T64" s="70">
        <f t="shared" si="0"/>
        <v>0.17429799999999998</v>
      </c>
    </row>
    <row r="65" spans="2:9" ht="15.75" thickBot="1" x14ac:dyDescent="0.3"/>
    <row r="66" spans="2:9" x14ac:dyDescent="0.25">
      <c r="B66" s="53" t="s">
        <v>124</v>
      </c>
      <c r="C66" s="54"/>
      <c r="D66" s="55"/>
    </row>
    <row r="67" spans="2:9" x14ac:dyDescent="0.25">
      <c r="B67" s="76" t="s">
        <v>125</v>
      </c>
      <c r="C67" s="5" t="s">
        <v>76</v>
      </c>
      <c r="D67" s="77" t="s">
        <v>78</v>
      </c>
    </row>
    <row r="68" spans="2:9" x14ac:dyDescent="0.25">
      <c r="B68" s="56" t="s">
        <v>94</v>
      </c>
      <c r="C68" s="48">
        <f>C43</f>
        <v>0.72401199390397486</v>
      </c>
      <c r="D68" s="78">
        <f>F43</f>
        <v>0.47614832788843586</v>
      </c>
    </row>
    <row r="69" spans="2:9" x14ac:dyDescent="0.25">
      <c r="B69" s="56" t="s">
        <v>90</v>
      </c>
      <c r="C69" s="48">
        <f>$B$54</f>
        <v>3.16</v>
      </c>
      <c r="D69" s="78">
        <f>$B$54</f>
        <v>3.16</v>
      </c>
    </row>
    <row r="70" spans="2:9" x14ac:dyDescent="0.25">
      <c r="B70" s="56" t="s">
        <v>91</v>
      </c>
      <c r="C70" s="48">
        <f>O64</f>
        <v>8.7757634201160677</v>
      </c>
      <c r="D70" s="78">
        <f>Q64</f>
        <v>1.5616474274573735</v>
      </c>
    </row>
    <row r="71" spans="2:9" ht="15.75" thickBot="1" x14ac:dyDescent="0.3">
      <c r="B71" s="79" t="s">
        <v>63</v>
      </c>
      <c r="C71" s="80">
        <f>SUM(C68:C70)</f>
        <v>12.659775414020043</v>
      </c>
      <c r="D71" s="81">
        <f>SUM(D68:D70)</f>
        <v>5.1977957553458092</v>
      </c>
    </row>
    <row r="73" spans="2:9" s="82" customFormat="1" ht="15.75" thickBot="1" x14ac:dyDescent="0.3"/>
    <row r="74" spans="2:9" ht="15.75" thickTop="1" x14ac:dyDescent="0.25">
      <c r="B74" s="5" t="s">
        <v>4</v>
      </c>
    </row>
    <row r="75" spans="2:9" ht="15.75" thickBot="1" x14ac:dyDescent="0.3"/>
    <row r="76" spans="2:9" x14ac:dyDescent="0.25">
      <c r="B76" s="53" t="s">
        <v>98</v>
      </c>
      <c r="C76" s="54"/>
      <c r="D76" s="54"/>
      <c r="E76" s="54"/>
      <c r="F76" s="54"/>
      <c r="G76" s="54"/>
      <c r="H76" s="54"/>
      <c r="I76" s="55"/>
    </row>
    <row r="77" spans="2:9" x14ac:dyDescent="0.25">
      <c r="B77" s="56" t="s">
        <v>1</v>
      </c>
      <c r="I77" s="57"/>
    </row>
    <row r="78" spans="2:9" x14ac:dyDescent="0.25">
      <c r="B78" s="56"/>
      <c r="I78" s="57"/>
    </row>
    <row r="79" spans="2:9" s="15" customFormat="1" ht="60" x14ac:dyDescent="0.25">
      <c r="B79" s="90"/>
      <c r="C79" s="91" t="s">
        <v>2</v>
      </c>
      <c r="D79" s="92" t="s">
        <v>3</v>
      </c>
      <c r="F79" s="91" t="s">
        <v>2</v>
      </c>
      <c r="G79" s="93" t="s">
        <v>3</v>
      </c>
      <c r="H79" s="92" t="s">
        <v>95</v>
      </c>
      <c r="I79" s="73"/>
    </row>
    <row r="80" spans="2:9" x14ac:dyDescent="0.25">
      <c r="B80" s="56"/>
      <c r="C80" s="2">
        <v>1</v>
      </c>
      <c r="D80" s="51">
        <v>-639000000</v>
      </c>
      <c r="F80" s="2">
        <v>99</v>
      </c>
      <c r="G80" s="22">
        <v>3140000000</v>
      </c>
      <c r="H80" s="51">
        <v>3140000000000</v>
      </c>
      <c r="I80" s="57"/>
    </row>
    <row r="81" spans="2:9" x14ac:dyDescent="0.25">
      <c r="B81" s="56"/>
      <c r="C81" s="2">
        <v>5</v>
      </c>
      <c r="D81" s="51">
        <v>-195000000</v>
      </c>
      <c r="F81" s="2">
        <v>95</v>
      </c>
      <c r="G81" s="22">
        <v>1630000000</v>
      </c>
      <c r="H81" s="51">
        <v>1630000000000</v>
      </c>
      <c r="I81" s="57"/>
    </row>
    <row r="82" spans="2:9" x14ac:dyDescent="0.25">
      <c r="B82" s="56"/>
      <c r="C82" s="2">
        <v>10</v>
      </c>
      <c r="D82" s="51">
        <v>-69300000</v>
      </c>
      <c r="F82" s="2">
        <v>90</v>
      </c>
      <c r="G82" s="22">
        <v>1010000000</v>
      </c>
      <c r="H82" s="51">
        <v>1010000000000</v>
      </c>
      <c r="I82" s="57"/>
    </row>
    <row r="83" spans="2:9" x14ac:dyDescent="0.25">
      <c r="B83" s="56"/>
      <c r="C83" s="2">
        <v>15</v>
      </c>
      <c r="D83" s="51">
        <v>-24500000</v>
      </c>
      <c r="F83" s="2">
        <v>85</v>
      </c>
      <c r="G83" s="22">
        <v>672000000</v>
      </c>
      <c r="H83" s="51">
        <v>672000000000</v>
      </c>
      <c r="I83" s="57"/>
    </row>
    <row r="84" spans="2:9" x14ac:dyDescent="0.25">
      <c r="B84" s="56"/>
      <c r="C84" s="2">
        <v>20</v>
      </c>
      <c r="D84" s="51">
        <v>-7780000</v>
      </c>
      <c r="F84" s="2">
        <v>80</v>
      </c>
      <c r="G84" s="22">
        <v>457000000</v>
      </c>
      <c r="H84" s="51">
        <v>457000000000</v>
      </c>
      <c r="I84" s="57"/>
    </row>
    <row r="85" spans="2:9" x14ac:dyDescent="0.25">
      <c r="B85" s="56"/>
      <c r="C85" s="2">
        <v>25</v>
      </c>
      <c r="D85" s="51">
        <v>-2690000</v>
      </c>
      <c r="F85" s="2">
        <v>75</v>
      </c>
      <c r="G85" s="22">
        <v>307000000</v>
      </c>
      <c r="H85" s="51">
        <v>307000000000</v>
      </c>
      <c r="I85" s="57"/>
    </row>
    <row r="86" spans="2:9" x14ac:dyDescent="0.25">
      <c r="B86" s="56"/>
      <c r="C86" s="2">
        <v>30</v>
      </c>
      <c r="D86" s="51">
        <v>-1470000</v>
      </c>
      <c r="F86" s="2">
        <v>70</v>
      </c>
      <c r="G86" s="22">
        <v>200000000</v>
      </c>
      <c r="H86" s="51">
        <v>200000000000</v>
      </c>
      <c r="I86" s="57"/>
    </row>
    <row r="87" spans="2:9" x14ac:dyDescent="0.25">
      <c r="B87" s="56"/>
      <c r="C87" s="2">
        <v>35</v>
      </c>
      <c r="D87" s="51">
        <v>-274000</v>
      </c>
      <c r="F87" s="2">
        <v>65</v>
      </c>
      <c r="G87" s="22">
        <v>123000000</v>
      </c>
      <c r="H87" s="51">
        <v>123000000000</v>
      </c>
      <c r="I87" s="57"/>
    </row>
    <row r="88" spans="2:9" x14ac:dyDescent="0.25">
      <c r="B88" s="56"/>
      <c r="C88" s="2">
        <v>40</v>
      </c>
      <c r="D88" s="51">
        <v>905000.00000000012</v>
      </c>
      <c r="F88" s="2">
        <v>60</v>
      </c>
      <c r="G88" s="22">
        <v>70600000</v>
      </c>
      <c r="H88" s="51">
        <v>70600000000</v>
      </c>
      <c r="I88" s="57"/>
    </row>
    <row r="89" spans="2:9" x14ac:dyDescent="0.25">
      <c r="B89" s="56"/>
      <c r="C89" s="2">
        <v>45</v>
      </c>
      <c r="D89" s="51">
        <v>6310000</v>
      </c>
      <c r="F89" s="2">
        <v>55</v>
      </c>
      <c r="G89" s="22">
        <v>37200000</v>
      </c>
      <c r="H89" s="51">
        <v>37200000000</v>
      </c>
      <c r="I89" s="57"/>
    </row>
    <row r="90" spans="2:9" x14ac:dyDescent="0.25">
      <c r="B90" s="56"/>
      <c r="C90" s="2">
        <v>50</v>
      </c>
      <c r="D90" s="51">
        <v>17400000</v>
      </c>
      <c r="F90" s="2">
        <v>50</v>
      </c>
      <c r="G90" s="22">
        <v>17400000</v>
      </c>
      <c r="H90" s="51">
        <v>17400000000</v>
      </c>
      <c r="I90" s="57"/>
    </row>
    <row r="91" spans="2:9" x14ac:dyDescent="0.25">
      <c r="B91" s="56"/>
      <c r="C91" s="2">
        <v>55</v>
      </c>
      <c r="D91" s="51">
        <v>37200000</v>
      </c>
      <c r="F91" s="2">
        <v>45</v>
      </c>
      <c r="G91" s="22">
        <v>6310000</v>
      </c>
      <c r="H91" s="51">
        <v>6310000000</v>
      </c>
      <c r="I91" s="57"/>
    </row>
    <row r="92" spans="2:9" x14ac:dyDescent="0.25">
      <c r="B92" s="56"/>
      <c r="C92" s="2">
        <v>60</v>
      </c>
      <c r="D92" s="51">
        <v>70600000</v>
      </c>
      <c r="F92" s="2">
        <v>40</v>
      </c>
      <c r="G92" s="22">
        <v>905000.00000000012</v>
      </c>
      <c r="H92" s="51">
        <v>905000000.00000012</v>
      </c>
      <c r="I92" s="57"/>
    </row>
    <row r="93" spans="2:9" x14ac:dyDescent="0.25">
      <c r="B93" s="56"/>
      <c r="C93" s="2">
        <v>65</v>
      </c>
      <c r="D93" s="51">
        <v>123000000</v>
      </c>
      <c r="F93" s="2">
        <v>35</v>
      </c>
      <c r="G93" s="22">
        <v>-274000</v>
      </c>
      <c r="H93" s="51">
        <v>-274000000</v>
      </c>
      <c r="I93" s="57"/>
    </row>
    <row r="94" spans="2:9" x14ac:dyDescent="0.25">
      <c r="B94" s="56"/>
      <c r="C94" s="2">
        <v>70</v>
      </c>
      <c r="D94" s="51">
        <v>200000000</v>
      </c>
      <c r="F94" s="2">
        <v>30</v>
      </c>
      <c r="G94" s="22">
        <v>-1470000</v>
      </c>
      <c r="H94" s="51">
        <v>-1470000000</v>
      </c>
      <c r="I94" s="57"/>
    </row>
    <row r="95" spans="2:9" x14ac:dyDescent="0.25">
      <c r="B95" s="56"/>
      <c r="C95" s="2">
        <v>75</v>
      </c>
      <c r="D95" s="51">
        <v>307000000</v>
      </c>
      <c r="F95" s="2">
        <v>25</v>
      </c>
      <c r="G95" s="22">
        <v>-2690000</v>
      </c>
      <c r="H95" s="51">
        <v>-2690000000</v>
      </c>
      <c r="I95" s="57"/>
    </row>
    <row r="96" spans="2:9" x14ac:dyDescent="0.25">
      <c r="B96" s="56"/>
      <c r="C96" s="2">
        <v>80</v>
      </c>
      <c r="D96" s="51">
        <v>457000000</v>
      </c>
      <c r="F96" s="2">
        <v>20</v>
      </c>
      <c r="G96" s="22">
        <v>-7780000</v>
      </c>
      <c r="H96" s="51">
        <v>-7780000000</v>
      </c>
      <c r="I96" s="57"/>
    </row>
    <row r="97" spans="2:9" x14ac:dyDescent="0.25">
      <c r="B97" s="56"/>
      <c r="C97" s="2">
        <v>85</v>
      </c>
      <c r="D97" s="51">
        <v>672000000</v>
      </c>
      <c r="F97" s="2">
        <v>15</v>
      </c>
      <c r="G97" s="22">
        <v>-24500000</v>
      </c>
      <c r="H97" s="51">
        <v>-24500000000</v>
      </c>
      <c r="I97" s="57"/>
    </row>
    <row r="98" spans="2:9" x14ac:dyDescent="0.25">
      <c r="B98" s="56"/>
      <c r="C98" s="2">
        <v>90</v>
      </c>
      <c r="D98" s="51">
        <v>1010000000</v>
      </c>
      <c r="F98" s="2">
        <v>10</v>
      </c>
      <c r="G98" s="22">
        <v>-69300000</v>
      </c>
      <c r="H98" s="51">
        <v>-69300000000</v>
      </c>
      <c r="I98" s="57"/>
    </row>
    <row r="99" spans="2:9" x14ac:dyDescent="0.25">
      <c r="B99" s="56"/>
      <c r="C99" s="2">
        <v>95</v>
      </c>
      <c r="D99" s="51">
        <v>1630000000</v>
      </c>
      <c r="F99" s="2">
        <v>5</v>
      </c>
      <c r="G99" s="22">
        <v>-195000000</v>
      </c>
      <c r="H99" s="51">
        <v>-195000000000</v>
      </c>
      <c r="I99" s="57"/>
    </row>
    <row r="100" spans="2:9" x14ac:dyDescent="0.25">
      <c r="B100" s="56"/>
      <c r="C100" s="3">
        <v>99</v>
      </c>
      <c r="D100" s="52">
        <v>3140000000</v>
      </c>
      <c r="F100" s="3">
        <v>1</v>
      </c>
      <c r="G100" s="4">
        <v>-639000000</v>
      </c>
      <c r="H100" s="52">
        <v>-639000000000</v>
      </c>
      <c r="I100" s="57"/>
    </row>
    <row r="101" spans="2:9" ht="15.75" thickBot="1" x14ac:dyDescent="0.3">
      <c r="B101" s="58"/>
      <c r="C101" s="59"/>
      <c r="D101" s="59"/>
      <c r="E101" s="59"/>
      <c r="F101" s="59"/>
      <c r="G101" s="59"/>
      <c r="H101" s="59"/>
      <c r="I101" s="60"/>
    </row>
    <row r="102" spans="2:9" ht="15.75" thickBot="1" x14ac:dyDescent="0.3"/>
    <row r="103" spans="2:9" x14ac:dyDescent="0.25">
      <c r="B103" s="141" t="s">
        <v>6</v>
      </c>
      <c r="C103" s="142" t="s">
        <v>7</v>
      </c>
      <c r="D103" s="143"/>
      <c r="E103" s="143"/>
      <c r="F103" s="143"/>
      <c r="G103" s="143"/>
      <c r="H103" s="54"/>
      <c r="I103" s="55"/>
    </row>
    <row r="104" spans="2:9" x14ac:dyDescent="0.25">
      <c r="B104" s="144" t="s">
        <v>8</v>
      </c>
      <c r="C104" s="6" t="s">
        <v>9</v>
      </c>
      <c r="D104" s="7">
        <v>510100000000000</v>
      </c>
      <c r="E104" s="8" t="s">
        <v>10</v>
      </c>
      <c r="F104" s="179"/>
      <c r="G104" s="179"/>
      <c r="I104" s="57"/>
    </row>
    <row r="105" spans="2:9" x14ac:dyDescent="0.25">
      <c r="B105" s="145"/>
      <c r="C105" s="9" t="s">
        <v>11</v>
      </c>
      <c r="D105" s="9">
        <f>365*24*60^2</f>
        <v>31536000</v>
      </c>
      <c r="E105" s="10" t="s">
        <v>12</v>
      </c>
      <c r="F105" s="179"/>
      <c r="G105" s="179"/>
      <c r="I105" s="57"/>
    </row>
    <row r="106" spans="2:9" x14ac:dyDescent="0.25">
      <c r="B106" s="146"/>
      <c r="C106" s="179"/>
      <c r="D106" s="179"/>
      <c r="E106" s="179"/>
      <c r="F106" s="179"/>
      <c r="G106" s="179"/>
      <c r="I106" s="57"/>
    </row>
    <row r="107" spans="2:9" x14ac:dyDescent="0.25">
      <c r="B107" s="188"/>
      <c r="C107" s="183" t="s">
        <v>13</v>
      </c>
      <c r="D107" s="183" t="s">
        <v>8</v>
      </c>
      <c r="E107" s="14" t="s">
        <v>149</v>
      </c>
      <c r="F107" s="8" t="s">
        <v>150</v>
      </c>
      <c r="I107" s="57"/>
    </row>
    <row r="108" spans="2:9" ht="30" x14ac:dyDescent="0.25">
      <c r="B108" s="189" t="s">
        <v>0</v>
      </c>
      <c r="C108" s="179" t="s">
        <v>100</v>
      </c>
      <c r="D108" s="179" t="s">
        <v>100</v>
      </c>
      <c r="E108" s="179" t="s">
        <v>100</v>
      </c>
      <c r="F108" s="184" t="s">
        <v>100</v>
      </c>
      <c r="G108" s="180"/>
      <c r="I108" s="57"/>
    </row>
    <row r="109" spans="2:9" x14ac:dyDescent="0.25">
      <c r="B109" s="189">
        <v>20</v>
      </c>
      <c r="C109" s="181">
        <v>2.3900000000000001E-14</v>
      </c>
      <c r="D109" s="181"/>
      <c r="E109" s="181">
        <v>2.4299999999999998E-14</v>
      </c>
      <c r="F109" s="185">
        <f>E109</f>
        <v>2.4299999999999998E-14</v>
      </c>
      <c r="G109" s="179"/>
      <c r="I109" s="57"/>
    </row>
    <row r="110" spans="2:9" x14ac:dyDescent="0.25">
      <c r="B110" s="189">
        <v>50</v>
      </c>
      <c r="C110" s="181">
        <v>5.0800000000000002E-14</v>
      </c>
      <c r="D110" s="181"/>
      <c r="E110" s="181"/>
      <c r="F110" s="185">
        <f>C110</f>
        <v>5.0800000000000002E-14</v>
      </c>
      <c r="G110" s="179"/>
      <c r="I110" s="57"/>
    </row>
    <row r="111" spans="2:9" x14ac:dyDescent="0.25">
      <c r="B111" s="190">
        <v>100</v>
      </c>
      <c r="C111" s="186">
        <v>8.8000000000000004E-14</v>
      </c>
      <c r="D111" s="186">
        <v>9.2499999999999997E-14</v>
      </c>
      <c r="E111" s="186">
        <v>8.9499999999999997E-14</v>
      </c>
      <c r="F111" s="187">
        <f>E111</f>
        <v>8.9499999999999997E-14</v>
      </c>
      <c r="G111" s="179"/>
      <c r="I111" s="57"/>
    </row>
    <row r="112" spans="2:9" x14ac:dyDescent="0.25">
      <c r="B112" s="56"/>
      <c r="C112" s="182"/>
      <c r="E112" s="179"/>
      <c r="F112" s="179"/>
      <c r="G112" s="179"/>
      <c r="I112" s="57"/>
    </row>
    <row r="113" spans="2:9" x14ac:dyDescent="0.25">
      <c r="B113" s="147"/>
      <c r="C113" s="191"/>
      <c r="D113" s="192"/>
      <c r="E113" s="192"/>
      <c r="F113" s="192"/>
      <c r="G113" s="192"/>
      <c r="I113" s="57"/>
    </row>
    <row r="114" spans="2:9" x14ac:dyDescent="0.25">
      <c r="B114" s="56"/>
      <c r="I114" s="57"/>
    </row>
    <row r="115" spans="2:9" x14ac:dyDescent="0.25">
      <c r="B115" s="56"/>
      <c r="I115" s="57"/>
    </row>
    <row r="116" spans="2:9" x14ac:dyDescent="0.25">
      <c r="B116" s="56"/>
      <c r="I116" s="57"/>
    </row>
    <row r="117" spans="2:9" x14ac:dyDescent="0.25">
      <c r="B117" s="56"/>
      <c r="I117" s="57"/>
    </row>
    <row r="118" spans="2:9" x14ac:dyDescent="0.25">
      <c r="B118" s="56"/>
      <c r="I118" s="57"/>
    </row>
    <row r="119" spans="2:9" x14ac:dyDescent="0.25">
      <c r="B119" s="56"/>
      <c r="I119" s="57"/>
    </row>
    <row r="120" spans="2:9" x14ac:dyDescent="0.25">
      <c r="B120" s="56"/>
      <c r="I120" s="57"/>
    </row>
    <row r="121" spans="2:9" x14ac:dyDescent="0.25">
      <c r="B121" s="56"/>
      <c r="I121" s="57"/>
    </row>
    <row r="122" spans="2:9" x14ac:dyDescent="0.25">
      <c r="B122" s="56"/>
      <c r="I122" s="57"/>
    </row>
    <row r="123" spans="2:9" x14ac:dyDescent="0.25">
      <c r="B123" s="56"/>
      <c r="I123" s="57"/>
    </row>
    <row r="124" spans="2:9" x14ac:dyDescent="0.25">
      <c r="B124" s="56"/>
      <c r="I124" s="57"/>
    </row>
    <row r="125" spans="2:9" x14ac:dyDescent="0.25">
      <c r="B125" s="56"/>
      <c r="I125" s="57"/>
    </row>
    <row r="126" spans="2:9" x14ac:dyDescent="0.25">
      <c r="B126" s="56"/>
      <c r="I126" s="57"/>
    </row>
    <row r="127" spans="2:9" x14ac:dyDescent="0.25">
      <c r="B127" s="56"/>
      <c r="I127" s="57"/>
    </row>
    <row r="128" spans="2:9" ht="15.75" thickBot="1" x14ac:dyDescent="0.3">
      <c r="B128" s="58"/>
      <c r="C128" s="59"/>
      <c r="D128" s="59"/>
      <c r="E128" s="59"/>
      <c r="F128" s="59"/>
      <c r="G128" s="59"/>
      <c r="H128" s="59"/>
      <c r="I128" s="60"/>
    </row>
  </sheetData>
  <sortState xmlns:xlrd2="http://schemas.microsoft.com/office/spreadsheetml/2017/richdata2" ref="F80:H100">
    <sortCondition descending="1" ref="F80:F100"/>
  </sortState>
  <hyperlinks>
    <hyperlink ref="B45" r:id="rId1" xr:uid="{600CD627-3A24-4114-A124-44F2BEBB2DD3}"/>
  </hyperlinks>
  <pageMargins left="0.7" right="0.7" top="0.75" bottom="0.75" header="0.3" footer="0.3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Intro</vt:lpstr>
      <vt:lpstr>GWP Decision Matrix</vt:lpstr>
      <vt:lpstr>Background Data</vt:lpstr>
    </vt:vector>
  </TitlesOfParts>
  <Company>University Of Maine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Reed Miller</dc:creator>
  <cp:lastModifiedBy>Reed Miller</cp:lastModifiedBy>
  <dcterms:created xsi:type="dcterms:W3CDTF">2024-02-09T22:11:59Z</dcterms:created>
  <dcterms:modified xsi:type="dcterms:W3CDTF">2026-08-05T16:44:13Z</dcterms:modified>
</cp:coreProperties>
</file>